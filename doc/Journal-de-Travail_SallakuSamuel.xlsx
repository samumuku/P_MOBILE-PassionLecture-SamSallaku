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r13xpj\Documents\GitHub\P_MOBILE-PassionLecture-SamSallaku\doc\"/>
    </mc:Choice>
  </mc:AlternateContent>
  <xr:revisionPtr revIDLastSave="0" documentId="13_ncr:1_{32612865-16CC-497D-9386-FE8888505D03}"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28680" yWindow="-120" windowWidth="29040" windowHeight="1584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<sst xmlns="http://schemas.openxmlformats.org/spreadsheetml/2006/main" count="79" uniqueCount="56">
  <si>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</si>
  <si>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</si>
  <si>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</si>
  <si>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</si>
  <si>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</si>
  <si>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</si>
  <si>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</si>
  <si>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</si>
  <si>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</si>
  <si>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</si>
  <si>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</si>
  <si>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</si>
  <si>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</si>
  <si>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</si>
  <si>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</si>
  <si>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</si>
  <si>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</si>
  <si>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</si>
  <si>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</si>
  <si>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</si>
  <si>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</si>
  <si>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</si>
  <si>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</si>
  <si>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18.03.2024  au 27.05.2024</t>
  </si>
  <si>
    <t>P_App - 335 - Passion Lecture</t>
  </si>
  <si>
    <t>heure</t>
  </si>
  <si>
    <t>Activité</t>
  </si>
  <si>
    <t>Remarque / problème</t>
  </si>
  <si>
    <t>Nous avons discuté avec le prof par rapport au projet, avions découvert le CdC ainsi que s'inscrire sur le marketplace. J'ai aussi créé mon repo GitHub avec les fichiers de base nécessaires comme ce journal de travail et CdC</t>
  </si>
  <si>
    <t>Sallaku Samuel</t>
  </si>
  <si>
    <t>Création du projet sur Visual Studio</t>
  </si>
  <si>
    <t>Début de la conception de l'application sur Figma, puis recherche d'un template pour téléphone Android</t>
  </si>
  <si>
    <t>J'ai eu des soucis car quand je voulais ouvrir n'importe quel fichier, que ce soit le mien ou bien un template, j'avais à chaque fois le problème où il ne s'affichait pas et le message d'erreur "
We can't open this file because WebGL isn't supported, or is disabled, in your browser. If your browser supports WebGL, check out this help article to find out how to enable it." Mais finalement, j'ai réussi à régler ce problème et j'ai pu avancer dans ma première maquette</t>
  </si>
  <si>
    <t>Meeting et discussion par rapport au projet avec le prof</t>
  </si>
  <si>
    <t xml:space="preserve">J'ai continué sur Figma, créé la page principale, la page de recherche où on peut filtrer avec un tag que nous avons créé et attribué à un livre ou bien filtrer avec une date d'ajout. J'ai aussi créé la page de détail d'un livre donc si on clique sur le bouton "Détails" qui est au dessous du livre, alors cette page va s'afficher </t>
  </si>
  <si>
    <t>J'ai quelques moments où Figma est un petit lent et donc ça me prend plus de temps pour faire certaines modification qui sont petites</t>
  </si>
  <si>
    <t>J'ai relu le CdC et fait en sorte qu'il y aie tout ce qu'il faut dans les maquettes afin de passer au code.</t>
  </si>
  <si>
    <t>J'ai commencé par faire une navigation simple avec les Tabs, juste avec la page "Détail", "Recherche" et la page d'accueil "Home"</t>
  </si>
  <si>
    <t>Nous avons discuté par rapport au projet, puis ensuite j'ai commencé par revoir ce que j'ai fait la semaine passée, et jai donc continué sur la navigation</t>
  </si>
  <si>
    <t>J'ai continué sur le projet, j'ai fait le TabBar et je l'ai personnalisé. J'ai également ajouté des icônes.</t>
  </si>
  <si>
    <t>Cela m'a pris du temps car j'ai dû me renseigner sur comment mettre du style au TabBar</t>
  </si>
  <si>
    <t>J'ai eu un soucis en faisant les icônes, elle n'apparaissaient pas sur mes pages de navigation tab. Mais c'était car les images n'étaient pas placés au bon endroit</t>
  </si>
  <si>
    <t>J'ai fait la mise en page de la page home, donc là où les livres vont s'afficher mais que le début.</t>
  </si>
  <si>
    <t>Debriefing avec le prof</t>
  </si>
  <si>
    <t>J'ai essayé de faire une icône pour l'app en SVG. Cela m'a pris du temps et j'ai dû le redimensionner, ce que j'ai pas réussi à faire correctement</t>
  </si>
  <si>
    <t>J'ai essayé de me renseigner sur comment lier le backend à l'app, afin de commencer à afficher des éléments venant de la DB</t>
  </si>
  <si>
    <t>J'ai lu la doc et j'ai mieux compri. J'ai donc repris mon ancien projet de API REST puis j'ai pu faire une connexion mais je ne peux pas encore afficher de livres.</t>
  </si>
  <si>
    <t>Il y a une erreur lorsqu'on clique sur le bouton "get books". Il n'arrive pas à récupérer les livres, en tout cas pas sur le  téléphone physique. A essayer sur l'émulateur</t>
  </si>
  <si>
    <t>J'ai cherché pour comment je puisse intéragir avec une API REST sur MAUI, et j'ai réussi à trouver une doc</t>
  </si>
  <si>
    <t>https://www.youtube.com/watch?v=Br_VfpKAbvI&amp;ab_channel=MacroCode</t>
  </si>
  <si>
    <t>https://learn.microsoft.com/en-us/dotnet/maui/data-cloud/rest?view=net-maui-9.0</t>
  </si>
  <si>
    <t>Après avoir lu la doc, j'ai pu mieux comprendre et j'ai donc implémenté cela dans mon app. J'ai eu des soucis où les données ne chargeaient pas, il me donnait une erreur à chaque fois étant: "[0:] The JSON value could not be converted to System.Collections.Generic.List1[P_PassionLecture.Models.Book]. Path: $ | LineNumber: 0 | BytePositionInLine: 1.: \tERROR {0}". J'ai donc cherché mais j'ai pas trouvé de méthode de convertir cela comme il faut.</t>
  </si>
  <si>
    <t>J'ai rempli le JDT avec ce que j'ai fait aujourd'hui</t>
  </si>
  <si>
    <t>J'ai donc demandé à chatgpt comment je pouvais améliorer cela, et il m'a dit de changer une ligne et ajouter cela: "                    var root = JsonDocument.Parse(content);
                    var dataElement = root.RootElement.GetProperty("data");". J'ai cherché à comprendre ces lignes et donc ce que j'ai retenu est que la première ligne va prendre le JSON depuis le client et le rendre plus propre, afin qu'on puisse extraire les objets livres. Ensuite, la prochaine ligne va chercher les valeurs au début du tableau JSON que nous trouvions dans le backend, puis va le transformer dans une liste de livres que nous pourrions ajouter a la variable "books"</t>
  </si>
  <si>
    <t>https://chatgpt.com/</t>
  </si>
  <si>
    <t>J'ai fait des mises à jour dans le MainPage.xaml afin d'avoir des meilleurs résultats lors de l'importation des livres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</si>
</sst>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2"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u/>
      <sz val="12"/>
      <color theme="1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2">
    <xf numFmtId="0" fontId="0" fillId="0" borderId="0"/>
    <xf numFmtId="0" fontId="11" fillId="0" borderId="0" applyNumberFormat="0" applyFill="0" applyBorder="0" applyAlignment="0" applyProtection="0"/>
  </cellStyleXfs>
  <cellXfs count="60">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1" fillId="0" borderId="0" xfId="1" applyAlignment="1" applyProtection="1">
      <alignment wrapText="1"/>
      <protection locked="0"/>
    </xf>
  </cellXfs>
  <cellStyles count="2">
    <cellStyle name="Lien hypertexte" xfId="1" builtinId="8"/>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6.9444444444444441E-3</c:v>
                </c:pt>
                <c:pt idx="1">
                  <c:v>0.19097222222222221</c:v>
                </c:pt>
                <c:pt idx="2">
                  <c:v>0</c:v>
                </c:pt>
                <c:pt idx="3">
                  <c:v>6.9444444444444441E-3</c:v>
                </c:pt>
                <c:pt idx="4">
                  <c:v>0.1076388888888889</c:v>
                </c:pt>
                <c:pt idx="5">
                  <c:v>0</c:v>
                </c:pt>
                <c:pt idx="6">
                  <c:v>0.125</c:v>
                </c:pt>
                <c:pt idx="7">
                  <c:v>2.7777777777777776E-2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learn.microsoft.com/en-us/dotnet/maui/data-cloud/rest?view=net-maui-9.0"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22" activePane="bottomLeft" state="frozen"/>
      <selection pane="bottomLeft" activeCell="F32" sqref="F32"/>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7" t="s">
        <v>29</v>
      </c>
      <c r="D2" s="57"/>
      <c r="E2" s="57"/>
      <c r="F2" s="5" t="s">
        <v>2</v>
      </c>
      <c r="G2" s="6" t="s">
        <v>24</v>
      </c>
    </row>
    <row r="3" spans="1:15" ht="23.25" x14ac:dyDescent="0.35">
      <c r="B3" s="5" t="s">
        <v>9</v>
      </c>
      <c r="C3" s="22" t="str">
        <f>INT(E4/1440)&amp;" jours "&amp;INT(MOD(E4/1440,1)*24)&amp;" heurs "&amp;INT(MOD(MOD(E4/1440,1)*24,1)*60)&amp;" minutes"</f>
        <v>0 jours 11 heurs 10 minutes</v>
      </c>
      <c r="D3" s="22"/>
      <c r="E3" s="3"/>
      <c r="F3" s="4" t="s">
        <v>10</v>
      </c>
      <c r="G3" s="7" t="s">
        <v>23</v>
      </c>
    </row>
    <row r="4" spans="1:15" ht="23.25" hidden="1" x14ac:dyDescent="0.35">
      <c r="B4" s="5"/>
      <c r="C4" s="22">
        <f>SUBTOTAL(9,$C$7:$C$531)*60</f>
        <v>180</v>
      </c>
      <c r="D4" s="22">
        <f>SUBTOTAL(9,$D$7:$D$531)</f>
        <v>490</v>
      </c>
      <c r="E4" s="40">
        <f>SUM(C4:D4)</f>
        <v>670</v>
      </c>
      <c r="F4" s="4"/>
      <c r="G4" s="7"/>
    </row>
    <row r="5" spans="1:15" x14ac:dyDescent="0.25">
      <c r="C5" s="58" t="s">
        <v>16</v>
      </c>
      <c r="D5" s="58"/>
    </row>
    <row r="6" spans="1:15" s="20" customFormat="1" ht="20.100000000000001" customHeight="1" x14ac:dyDescent="0.3">
      <c r="A6" s="18" t="s">
        <v>11</v>
      </c>
      <c r="B6" s="32" t="s">
        <v>12</v>
      </c>
      <c r="C6" s="21" t="s">
        <v>25</v>
      </c>
      <c r="D6" s="21" t="s">
        <v>17</v>
      </c>
      <c r="E6" s="19" t="s">
        <v>26</v>
      </c>
      <c r="F6" s="19" t="s">
        <v>13</v>
      </c>
      <c r="G6" s="19" t="s">
        <v>27</v>
      </c>
    </row>
    <row r="7" spans="1:15" x14ac:dyDescent="0.25">
      <c r="A7" s="14" t="str">
        <f>IF(ISBLANK(B7),"",_xlfn.ISOWEEKNUM('Journal de travail'!$B7))</f>
        <v/>
      </c>
      <c r="B7" s="42"/>
      <c r="C7" s="43"/>
      <c r="D7" s="44"/>
      <c r="E7" s="45"/>
      <c r="F7" s="36"/>
      <c r="G7" s="54"/>
    </row>
    <row r="8" spans="1:15" ht="47.25" x14ac:dyDescent="0.25">
      <c r="A8" s="8">
        <f>IF(ISBLANK(B8),"",_xlfn.ISOWEEKNUM('Journal de travail'!$B8))</f>
        <v>12</v>
      </c>
      <c r="B8" s="46">
        <v>45737</v>
      </c>
      <c r="C8" s="47">
        <v>1</v>
      </c>
      <c r="D8" s="48">
        <v>20</v>
      </c>
      <c r="E8" s="49" t="s">
        <v>7</v>
      </c>
      <c r="F8" s="36" t="s">
        <v>28</v>
      </c>
      <c r="G8" s="55"/>
      <c r="M8" t="s">
        <v>3</v>
      </c>
      <c r="N8">
        <v>1</v>
      </c>
      <c r="O8">
        <v>0</v>
      </c>
    </row>
    <row r="9" spans="1:15" x14ac:dyDescent="0.25">
      <c r="A9" s="16">
        <f>IF(ISBLANK(B9),"",_xlfn.ISOWEEKNUM('Journal de travail'!$B9))</f>
        <v>12</v>
      </c>
      <c r="B9" s="50">
        <v>45737</v>
      </c>
      <c r="C9" s="51"/>
      <c r="D9" s="52">
        <v>10</v>
      </c>
      <c r="E9" s="53" t="s">
        <v>22</v>
      </c>
      <c r="F9" s="36" t="s">
        <v>30</v>
      </c>
      <c r="G9" s="56"/>
      <c r="M9" t="s">
        <v>4</v>
      </c>
      <c r="N9">
        <v>2</v>
      </c>
      <c r="O9">
        <v>5</v>
      </c>
    </row>
    <row r="10" spans="1:15" ht="110.25" x14ac:dyDescent="0.25">
      <c r="A10" s="8">
        <f>IF(ISBLANK(B10),"",_xlfn.ISOWEEKNUM('Journal de travail'!$B10))</f>
        <v>12</v>
      </c>
      <c r="B10" s="46">
        <v>45737</v>
      </c>
      <c r="C10" s="47"/>
      <c r="D10" s="48">
        <v>45</v>
      </c>
      <c r="E10" s="49" t="s">
        <v>21</v>
      </c>
      <c r="F10" s="36" t="s">
        <v>31</v>
      </c>
      <c r="G10" s="55" t="s">
        <v>32</v>
      </c>
      <c r="M10" t="s">
        <v>5</v>
      </c>
      <c r="N10">
        <v>3</v>
      </c>
      <c r="O10">
        <v>10</v>
      </c>
    </row>
    <row r="11" spans="1:15" x14ac:dyDescent="0.25">
      <c r="A11" s="16">
        <f>IF(ISBLANK(B11),"",_xlfn.ISOWEEKNUM('Journal de travail'!$B11))</f>
        <v>13</v>
      </c>
      <c r="B11" s="50">
        <v>45744</v>
      </c>
      <c r="C11" s="51"/>
      <c r="D11" s="52">
        <v>20</v>
      </c>
      <c r="E11" s="53" t="s">
        <v>7</v>
      </c>
      <c r="F11" s="36" t="s">
        <v>33</v>
      </c>
      <c r="G11" s="56"/>
      <c r="M11" t="s">
        <v>6</v>
      </c>
      <c r="N11">
        <v>4</v>
      </c>
      <c r="O11">
        <v>15</v>
      </c>
    </row>
    <row r="12" spans="1:15" ht="63" x14ac:dyDescent="0.25">
      <c r="A12" s="8">
        <f>IF(ISBLANK(B12),"",_xlfn.ISOWEEKNUM('Journal de travail'!$B12))</f>
        <v>13</v>
      </c>
      <c r="B12" s="46">
        <v>45744</v>
      </c>
      <c r="C12" s="47">
        <v>1</v>
      </c>
      <c r="D12" s="48">
        <v>15</v>
      </c>
      <c r="E12" s="49" t="s">
        <v>21</v>
      </c>
      <c r="F12" s="36" t="s">
        <v>34</v>
      </c>
      <c r="G12" s="55" t="s">
        <v>35</v>
      </c>
      <c r="M12" t="s">
        <v>7</v>
      </c>
      <c r="N12">
        <v>5</v>
      </c>
      <c r="O12">
        <v>20</v>
      </c>
    </row>
    <row r="13" spans="1:15" ht="31.5" x14ac:dyDescent="0.25">
      <c r="A13" s="16">
        <f>IF(ISBLANK(B13),"",_xlfn.ISOWEEKNUM('Journal de travail'!$B13))</f>
        <v>13</v>
      </c>
      <c r="B13" s="50">
        <v>45744</v>
      </c>
      <c r="C13" s="51"/>
      <c r="D13" s="52">
        <v>25</v>
      </c>
      <c r="E13" s="53" t="s">
        <v>21</v>
      </c>
      <c r="F13" s="36" t="s">
        <v>36</v>
      </c>
      <c r="G13" s="56"/>
      <c r="M13" t="s">
        <v>8</v>
      </c>
      <c r="N13">
        <v>6</v>
      </c>
      <c r="O13">
        <v>25</v>
      </c>
    </row>
    <row r="14" spans="1:15" ht="31.5" x14ac:dyDescent="0.25">
      <c r="A14" s="8">
        <f>IF(ISBLANK(B14),"",_xlfn.ISOWEEKNUM('Journal de travail'!$B14))</f>
        <v>13</v>
      </c>
      <c r="B14" s="46">
        <v>45744</v>
      </c>
      <c r="C14" s="47"/>
      <c r="D14" s="48">
        <v>20</v>
      </c>
      <c r="E14" s="49" t="s">
        <v>4</v>
      </c>
      <c r="F14" s="36" t="s">
        <v>37</v>
      </c>
      <c r="G14" s="55"/>
      <c r="M14" t="s">
        <v>21</v>
      </c>
      <c r="N14">
        <v>7</v>
      </c>
      <c r="O14">
        <v>30</v>
      </c>
    </row>
    <row r="15" spans="1:15" ht="31.5" x14ac:dyDescent="0.25">
      <c r="A15" s="16">
        <f>IF(ISBLANK(B15),"",_xlfn.ISOWEEKNUM('Journal de travail'!$B15))</f>
        <v>14</v>
      </c>
      <c r="B15" s="50">
        <v>45751</v>
      </c>
      <c r="C15" s="51"/>
      <c r="D15" s="52">
        <v>25</v>
      </c>
      <c r="E15" s="53" t="s">
        <v>7</v>
      </c>
      <c r="F15" s="36" t="s">
        <v>38</v>
      </c>
      <c r="G15" s="56"/>
      <c r="M15" t="s">
        <v>22</v>
      </c>
      <c r="N15">
        <v>8</v>
      </c>
      <c r="O15">
        <v>35</v>
      </c>
    </row>
    <row r="16" spans="1:15" ht="31.5" x14ac:dyDescent="0.25">
      <c r="A16" s="8">
        <f>IF(ISBLANK(B16),"",_xlfn.ISOWEEKNUM('Journal de travail'!$B16))</f>
        <v>14</v>
      </c>
      <c r="B16" s="46">
        <v>45751</v>
      </c>
      <c r="C16" s="47"/>
      <c r="D16" s="48">
        <v>50</v>
      </c>
      <c r="E16" s="49" t="s">
        <v>4</v>
      </c>
      <c r="F16" s="36" t="s">
        <v>39</v>
      </c>
      <c r="G16" s="55" t="s">
        <v>40</v>
      </c>
      <c r="O16">
        <v>40</v>
      </c>
    </row>
    <row r="17" spans="1:15" ht="31.5" x14ac:dyDescent="0.25">
      <c r="A17" s="16">
        <f>IF(ISBLANK(B17),"",_xlfn.ISOWEEKNUM('Journal de travail'!$B17))</f>
        <v>14</v>
      </c>
      <c r="B17" s="50">
        <v>45751</v>
      </c>
      <c r="C17" s="51"/>
      <c r="D17" s="52">
        <v>30</v>
      </c>
      <c r="E17" s="53" t="s">
        <v>4</v>
      </c>
      <c r="F17" s="36" t="s">
        <v>41</v>
      </c>
      <c r="G17" s="56"/>
      <c r="O17">
        <v>45</v>
      </c>
    </row>
    <row r="18" spans="1:15" x14ac:dyDescent="0.25">
      <c r="A18" s="8">
        <f>IF(ISBLANK(B18),"",_xlfn.ISOWEEKNUM('Journal de travail'!$B18))</f>
        <v>14</v>
      </c>
      <c r="B18" s="46">
        <v>45751</v>
      </c>
      <c r="C18" s="47"/>
      <c r="D18" s="48">
        <v>30</v>
      </c>
      <c r="E18" s="49" t="s">
        <v>4</v>
      </c>
      <c r="F18" s="36" t="s">
        <v>42</v>
      </c>
      <c r="G18" s="55"/>
      <c r="O18">
        <v>50</v>
      </c>
    </row>
    <row r="19" spans="1:15" x14ac:dyDescent="0.25">
      <c r="A19" s="16">
        <f>IF(ISBLANK(B19),"",_xlfn.ISOWEEKNUM('Journal de travail'!$B19))</f>
        <v>15</v>
      </c>
      <c r="B19" s="50">
        <v>45758</v>
      </c>
      <c r="C19" s="51"/>
      <c r="D19" s="52">
        <v>20</v>
      </c>
      <c r="E19" s="53" t="s">
        <v>7</v>
      </c>
      <c r="F19" s="36" t="s">
        <v>43</v>
      </c>
      <c r="G19" s="56"/>
      <c r="O19">
        <v>55</v>
      </c>
    </row>
    <row r="20" spans="1:15" ht="31.5" x14ac:dyDescent="0.25">
      <c r="A20" s="8">
        <f>IF(ISBLANK(B20),"",_xlfn.ISOWEEKNUM('Journal de travail'!$B20))</f>
        <v>15</v>
      </c>
      <c r="B20" s="46">
        <v>45758</v>
      </c>
      <c r="C20" s="47"/>
      <c r="D20" s="48">
        <v>20</v>
      </c>
      <c r="E20" s="49" t="s">
        <v>21</v>
      </c>
      <c r="F20" s="36" t="s">
        <v>44</v>
      </c>
      <c r="G20" s="55"/>
    </row>
    <row r="21" spans="1:15" ht="31.5" x14ac:dyDescent="0.25">
      <c r="A21" s="16">
        <f>IF(ISBLANK(B21),"",_xlfn.ISOWEEKNUM('Journal de travail'!$B21))</f>
        <v>15</v>
      </c>
      <c r="B21" s="50">
        <v>45758</v>
      </c>
      <c r="C21" s="51"/>
      <c r="D21" s="52">
        <v>30</v>
      </c>
      <c r="E21" s="53" t="s">
        <v>22</v>
      </c>
      <c r="F21" s="36" t="s">
        <v>45</v>
      </c>
      <c r="G21" s="56"/>
    </row>
    <row r="22" spans="1:15" ht="31.5" x14ac:dyDescent="0.25">
      <c r="A22" s="8">
        <f>IF(ISBLANK(B22),"",_xlfn.ISOWEEKNUM('Journal de travail'!$B22))</f>
        <v>15</v>
      </c>
      <c r="B22" s="46">
        <v>45758</v>
      </c>
      <c r="C22" s="47"/>
      <c r="D22" s="48">
        <v>40</v>
      </c>
      <c r="E22" s="49" t="s">
        <v>4</v>
      </c>
      <c r="F22" s="36" t="s">
        <v>46</v>
      </c>
      <c r="G22" s="55"/>
    </row>
    <row r="23" spans="1:15" ht="31.5" x14ac:dyDescent="0.25">
      <c r="A23" s="16">
        <f>IF(ISBLANK(B23),"",_xlfn.ISOWEEKNUM('Journal de travail'!$B23))</f>
        <v>15</v>
      </c>
      <c r="B23" s="50">
        <v>45758</v>
      </c>
      <c r="C23" s="51"/>
      <c r="D23" s="52">
        <v>15</v>
      </c>
      <c r="E23" s="53" t="s">
        <v>4</v>
      </c>
      <c r="F23" s="36" t="s">
        <v>47</v>
      </c>
      <c r="G23" s="56"/>
    </row>
    <row r="24" spans="1:15" x14ac:dyDescent="0.25">
      <c r="A24" s="8">
        <f>IF(ISBLANK(B24),"",_xlfn.ISOWEEKNUM('Journal de travail'!$B24))</f>
        <v>18</v>
      </c>
      <c r="B24" s="46">
        <v>45779</v>
      </c>
      <c r="C24" s="47"/>
      <c r="D24" s="48">
        <v>10</v>
      </c>
      <c r="E24" s="49" t="s">
        <v>7</v>
      </c>
      <c r="F24" s="36" t="s">
        <v>43</v>
      </c>
      <c r="G24" s="55"/>
    </row>
    <row r="25" spans="1:15" ht="31.5" x14ac:dyDescent="0.25">
      <c r="A25" s="16">
        <f>IF(ISBLANK(B25),"",_xlfn.ISOWEEKNUM('Journal de travail'!$B25))</f>
        <v>18</v>
      </c>
      <c r="B25" s="50">
        <v>45779</v>
      </c>
      <c r="C25" s="51"/>
      <c r="D25" s="52">
        <v>10</v>
      </c>
      <c r="E25" s="53" t="s">
        <v>3</v>
      </c>
      <c r="F25" s="36" t="s">
        <v>48</v>
      </c>
      <c r="G25" s="56" t="s">
        <v>49</v>
      </c>
    </row>
    <row r="26" spans="1:15" ht="94.5" x14ac:dyDescent="0.25">
      <c r="A26" s="8">
        <f>IF(ISBLANK(B26),"",_xlfn.ISOWEEKNUM('Journal de travail'!$B26))</f>
        <v>18</v>
      </c>
      <c r="B26" s="46">
        <v>45779</v>
      </c>
      <c r="C26" s="47">
        <v>1</v>
      </c>
      <c r="D26" s="48">
        <v>10</v>
      </c>
      <c r="E26" s="49" t="s">
        <v>4</v>
      </c>
      <c r="F26" s="36" t="s">
        <v>51</v>
      </c>
      <c r="G26" s="59" t="s">
        <v>50</v>
      </c>
    </row>
    <row r="27" spans="1:15" ht="110.25" x14ac:dyDescent="0.25">
      <c r="A27" s="16">
        <f>IF(ISBLANK(B27),"",_xlfn.ISOWEEKNUM('Journal de travail'!$B27))</f>
        <v>18</v>
      </c>
      <c r="B27" s="50">
        <v>45779</v>
      </c>
      <c r="C27" s="51"/>
      <c r="D27" s="52">
        <v>20</v>
      </c>
      <c r="E27" s="53" t="s">
        <v>4</v>
      </c>
      <c r="F27" s="36" t="s">
        <v>53</v>
      </c>
      <c r="G27" s="56" t="s">
        <v>54</v>
      </c>
    </row>
    <row r="28" spans="1:15" x14ac:dyDescent="0.25">
      <c r="A28" s="8">
        <f>IF(ISBLANK(B28),"",_xlfn.ISOWEEKNUM('Journal de travail'!$B28))</f>
        <v>18</v>
      </c>
      <c r="B28" s="46">
        <v>45779</v>
      </c>
      <c r="C28" s="47"/>
      <c r="D28" s="48">
        <v>15</v>
      </c>
      <c r="E28" s="49" t="s">
        <v>21</v>
      </c>
      <c r="F28" s="35" t="s">
        <v>55</v>
      </c>
      <c r="G28" s="55"/>
    </row>
    <row r="29" spans="1:15" x14ac:dyDescent="0.25">
      <c r="A29" s="16">
        <f>IF(ISBLANK(B29),"",_xlfn.ISOWEEKNUM('Journal de travail'!$B29))</f>
        <v>18</v>
      </c>
      <c r="B29" s="50">
        <v>45779</v>
      </c>
      <c r="C29" s="51"/>
      <c r="D29" s="52">
        <v>10</v>
      </c>
      <c r="E29" s="53" t="s">
        <v>6</v>
      </c>
      <c r="F29" s="35" t="s">
        <v>52</v>
      </c>
      <c r="G29" s="56"/>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hyperlinks>
    <hyperlink ref="G26" r:id="rId1" xr:uid="{096AEDFC-FEDE-4D4A-8ED1-086DDD047E45}"/>
  </hyperlinks>
  <pageMargins left="0.7" right="0.7" top="0.75" bottom="0.75" header="0.3" footer="0.3"/>
  <pageSetup paperSize="9" orientation="portrait"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10</v>
      </c>
      <c r="C4" s="25" t="str">
        <f>'Journal de travail'!M8</f>
        <v>Analyse</v>
      </c>
      <c r="D4" s="33">
        <f>(A4+B4)/1440</f>
        <v>6.9444444444444441E-3</v>
      </c>
    </row>
    <row r="5" spans="1:4" x14ac:dyDescent="0.3">
      <c r="A5">
        <f>SUMIF('Journal de travail'!$E$7:$E$532,Analyse!C5,'Journal de travail'!$C$7:$C$532)*60</f>
        <v>60</v>
      </c>
      <c r="B5">
        <f>SUMIF('Journal de travail'!$E$7:$E$532,Analyse!C5,'Journal de travail'!$D$7:$D$532)</f>
        <v>215</v>
      </c>
      <c r="C5" s="41" t="str">
        <f>'Journal de travail'!M9</f>
        <v>Développement</v>
      </c>
      <c r="D5" s="33">
        <f t="shared" ref="D5:D11" si="0">(A5+B5)/1440</f>
        <v>0.19097222222222221</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10</v>
      </c>
      <c r="C7" s="27" t="str">
        <f>'Journal de travail'!M11</f>
        <v>Documentation</v>
      </c>
      <c r="D7" s="33">
        <f t="shared" si="0"/>
        <v>6.9444444444444441E-3</v>
      </c>
    </row>
    <row r="8" spans="1:4" x14ac:dyDescent="0.3">
      <c r="A8">
        <f>SUMIF('Journal de travail'!$E$7:$E$532,Analyse!C8,'Journal de travail'!$C$7:$C$532)*60</f>
        <v>60</v>
      </c>
      <c r="B8">
        <f>SUMIF('Journal de travail'!$E$7:$E$532,Analyse!C8,'Journal de travail'!$D$7:$D$532)</f>
        <v>95</v>
      </c>
      <c r="C8" s="28" t="str">
        <f>'Journal de travail'!M12</f>
        <v>Meeting</v>
      </c>
      <c r="D8" s="33">
        <f t="shared" si="0"/>
        <v>0.1076388888888889</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60</v>
      </c>
      <c r="B10">
        <f>SUMIF('Journal de travail'!$E$7:$E$532,Analyse!C10,'Journal de travail'!$D$7:$D$532)</f>
        <v>120</v>
      </c>
      <c r="C10" s="37" t="str">
        <f>'Journal de travail'!M14</f>
        <v>Design</v>
      </c>
      <c r="D10" s="33">
        <f t="shared" si="0"/>
        <v>0.125</v>
      </c>
    </row>
    <row r="11" spans="1:4" x14ac:dyDescent="0.3">
      <c r="A11">
        <f>SUMIF('Journal de travail'!$E$7:$E$532,Analyse!C11,'Journal de travail'!$C$7:$C$532)*60</f>
        <v>0</v>
      </c>
      <c r="B11">
        <f>SUMIF('Journal de travail'!$E$7:$E$532,Analyse!C11,'Journal de travail'!$D$7:$D$532)</f>
        <v>40</v>
      </c>
      <c r="C11" s="39" t="str">
        <f>'Journal de travail'!M15</f>
        <v>Autre</v>
      </c>
      <c r="D11" s="33">
        <f t="shared" si="0"/>
        <v>2.7777777777777776E-2</v>
      </c>
    </row>
    <row r="12" spans="1:4" x14ac:dyDescent="0.3">
      <c r="C12" s="23" t="s">
        <v>20</v>
      </c>
      <c r="D12" s="34">
        <f>SUM(D4:D11)</f>
        <v>0.46527777777777779</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Samuel Sallaku</cp:lastModifiedBy>
  <cp:revision/>
  <dcterms:created xsi:type="dcterms:W3CDTF">2023-11-21T20:00:34Z</dcterms:created>
  <dcterms:modified xsi:type="dcterms:W3CDTF">2025-05-02T13:41:00Z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