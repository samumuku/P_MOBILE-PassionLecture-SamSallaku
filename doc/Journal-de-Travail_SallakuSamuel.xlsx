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r13xpj\Documents\GitHub\P_MOBILE-PassionLecture-SamSallaku\doc\"/>
    </mc:Choice>
  </mc:AlternateContent>
  <xr:revisionPtr revIDLastSave="0" documentId="13_ncr:1_{44A99275-16B8-4DE9-B369-676EEF6F6C16}"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120" yWindow="-120" windowWidth="29040" windowHeight="1584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2" l="1"/>
  <c r="A11" i="2"/>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D11" i="2" l="1"/>
  <c r="D10" i="2"/>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<sst xmlns="http://schemas.openxmlformats.org/spreadsheetml/2006/main" count="45" uniqueCount="38">
  <si>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</si>
  <si>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</si>
  <si>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</si>
  <si>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</si>
  <si>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</si>
  <si>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</si>
  <si>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</si>
  <si>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</si>
  <si>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</si>
  <si>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</si>
  <si>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</si>
  <si>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</si>
  <si>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</si>
  <si>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</si>
  <si>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</si>
  <si>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</si>
  <si>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</si>
  <si>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</si>
  <si>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</si>
  <si>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</si>
  <si>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</si>
  <si>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</si>
  <si>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</si>
  <si>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18.03.2024  au 27.05.2024</t>
  </si>
  <si>
    <t>P_App - 335 - Passion Lecture</t>
  </si>
  <si>
    <t>heure</t>
  </si>
  <si>
    <t>Activité</t>
  </si>
  <si>
    <t>Remarque / problème</t>
  </si>
  <si>
    <t>Nous avons discuté avec le prof par rapport au projet, avions découvert le CdC ainsi que s'inscrire sur le marketplace. J'ai aussi créé mon repo GitHub avec les fichiers de base nécessaires comme ce journal de travail et CdC</t>
  </si>
  <si>
    <t>Sallaku Samuel</t>
  </si>
  <si>
    <t>Création du projet sur Visual Studio</t>
  </si>
  <si>
    <t>Début de la conception de l'application sur Figma, puis recherche d'un template pour téléphone Android</t>
  </si>
  <si>
    <t>J'ai eu des soucis car quand je voulais ouvrir n'importe quel fichier, que ce soit le mien ou bien un template, j'avais à chaque fois le problème où il ne s'affichait pas et le message d'erreur "
We can't open this file because WebGL isn't supported, or is disabled, in your browser. If your browser supports WebGL, check out this help article to find out how to enable it." Mais finalement, j'ai réussi à régler ce problème et j'ai pu avancer dans ma première maquette</t>
  </si>
  <si>
    <t>Meeting et discussion par rapport au projet avec le prof</t>
  </si>
  <si>
    <t xml:space="preserve">J'ai continué sur Figma, créé la page principale, la page de recherche où on peut filtrer avec un tag que nous avons créé et attribué à un livre ou bien filtrer avec une date d'ajout. J'ai aussi créé la page de détail d'un livre donc si on clique sur le bouton "Détails" qui est au dessous du livre, alors cette page va s'afficher </t>
  </si>
  <si>
    <t>J'ai quelques moments où Figma est un petit lent et donc ça me prend plus de temps pour faire certaines modification qui sont petites</t>
  </si>
  <si>
    <t>J'ai relu le CdC et fait en sorte qu'il y aie tout ce qu'il faut dans les maquettes afin de passer au code.</t>
  </si>
  <si>
    <t>J'ai commencé par faire une navigation simple avec les Tabs, juste avec la page "Détail", "Recherche" et la page d'accueil "Home"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</si>
</sst>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59">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0</c:v>
                </c:pt>
                <c:pt idx="1">
                  <c:v>1.3888888888888888E-2</c:v>
                </c:pt>
                <c:pt idx="2">
                  <c:v>0</c:v>
                </c:pt>
                <c:pt idx="3">
                  <c:v>0</c:v>
                </c:pt>
                <c:pt idx="4">
                  <c:v>6.9444444444444448E-2</c:v>
                </c:pt>
                <c:pt idx="5">
                  <c:v>0</c:v>
                </c:pt>
                <c:pt idx="6">
                  <c:v>0.10069444444444445</c:v>
                </c:pt>
                <c:pt idx="7">
                  <c:v>6.9444444444444441E-3</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Normal="100" workbookViewId="0">
      <pane ySplit="6" topLeftCell="A7" activePane="bottomLeft" state="frozen"/>
      <selection pane="bottomLeft" activeCell="F10" sqref="F10"/>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57" t="s">
        <v>29</v>
      </c>
      <c r="D2" s="57"/>
      <c r="E2" s="57"/>
      <c r="F2" s="5" t="s">
        <v>2</v>
      </c>
      <c r="G2" s="6" t="s">
        <v>24</v>
      </c>
    </row>
    <row r="3" spans="1:15" ht="23.25" x14ac:dyDescent="0.35">
      <c r="B3" s="5" t="s">
        <v>9</v>
      </c>
      <c r="C3" s="22" t="str">
        <f>INT(E4/1440)&amp;" jours "&amp;INT(MOD(E4/1440,1)*24)&amp;" heurs "&amp;INT(MOD(MOD(E4/1440,1)*24,1)*60)&amp;" minutes"</f>
        <v>0 jours 4 heurs 35 minutes</v>
      </c>
      <c r="D3" s="22"/>
      <c r="E3" s="3"/>
      <c r="F3" s="4" t="s">
        <v>10</v>
      </c>
      <c r="G3" s="7" t="s">
        <v>23</v>
      </c>
    </row>
    <row r="4" spans="1:15" ht="23.25" hidden="1" x14ac:dyDescent="0.35">
      <c r="B4" s="5"/>
      <c r="C4" s="22">
        <f>SUBTOTAL(9,$C$7:$C$531)*60</f>
        <v>120</v>
      </c>
      <c r="D4" s="22">
        <f>SUBTOTAL(9,$D$7:$D$531)</f>
        <v>155</v>
      </c>
      <c r="E4" s="40">
        <f>SUM(C4:D4)</f>
        <v>275</v>
      </c>
      <c r="F4" s="4"/>
      <c r="G4" s="7"/>
    </row>
    <row r="5" spans="1:15" x14ac:dyDescent="0.25">
      <c r="C5" s="58" t="s">
        <v>16</v>
      </c>
      <c r="D5" s="58"/>
    </row>
    <row r="6" spans="1:15" s="20" customFormat="1" ht="20.100000000000001" customHeight="1" x14ac:dyDescent="0.3">
      <c r="A6" s="18" t="s">
        <v>11</v>
      </c>
      <c r="B6" s="32" t="s">
        <v>12</v>
      </c>
      <c r="C6" s="21" t="s">
        <v>25</v>
      </c>
      <c r="D6" s="21" t="s">
        <v>17</v>
      </c>
      <c r="E6" s="19" t="s">
        <v>26</v>
      </c>
      <c r="F6" s="19" t="s">
        <v>13</v>
      </c>
      <c r="G6" s="19" t="s">
        <v>27</v>
      </c>
    </row>
    <row r="7" spans="1:15" x14ac:dyDescent="0.25">
      <c r="A7" s="14" t="str">
        <f>IF(ISBLANK(B7),"",_xlfn.ISOWEEKNUM('Journal de travail'!$B7))</f>
        <v/>
      </c>
      <c r="B7" s="42"/>
      <c r="C7" s="43"/>
      <c r="D7" s="44"/>
      <c r="E7" s="45"/>
      <c r="F7" s="36"/>
      <c r="G7" s="54"/>
    </row>
    <row r="8" spans="1:15" ht="47.25" x14ac:dyDescent="0.25">
      <c r="A8" s="8">
        <f>IF(ISBLANK(B8),"",_xlfn.ISOWEEKNUM('Journal de travail'!$B8))</f>
        <v>12</v>
      </c>
      <c r="B8" s="46">
        <v>45737</v>
      </c>
      <c r="C8" s="47">
        <v>1</v>
      </c>
      <c r="D8" s="48">
        <v>20</v>
      </c>
      <c r="E8" s="49" t="s">
        <v>7</v>
      </c>
      <c r="F8" s="36" t="s">
        <v>28</v>
      </c>
      <c r="G8" s="55"/>
      <c r="M8" t="s">
        <v>3</v>
      </c>
      <c r="N8">
        <v>1</v>
      </c>
      <c r="O8">
        <v>0</v>
      </c>
    </row>
    <row r="9" spans="1:15" x14ac:dyDescent="0.25">
      <c r="A9" s="16">
        <f>IF(ISBLANK(B9),"",_xlfn.ISOWEEKNUM('Journal de travail'!$B9))</f>
        <v>12</v>
      </c>
      <c r="B9" s="50">
        <v>45737</v>
      </c>
      <c r="C9" s="51"/>
      <c r="D9" s="52">
        <v>10</v>
      </c>
      <c r="E9" s="53" t="s">
        <v>22</v>
      </c>
      <c r="F9" s="36" t="s">
        <v>30</v>
      </c>
      <c r="G9" s="56"/>
      <c r="M9" t="s">
        <v>4</v>
      </c>
      <c r="N9">
        <v>2</v>
      </c>
      <c r="O9">
        <v>5</v>
      </c>
    </row>
    <row r="10" spans="1:15" ht="110.25" x14ac:dyDescent="0.25">
      <c r="A10" s="8">
        <f>IF(ISBLANK(B10),"",_xlfn.ISOWEEKNUM('Journal de travail'!$B10))</f>
        <v>12</v>
      </c>
      <c r="B10" s="46">
        <v>45737</v>
      </c>
      <c r="C10" s="47"/>
      <c r="D10" s="48">
        <v>45</v>
      </c>
      <c r="E10" s="49" t="s">
        <v>21</v>
      </c>
      <c r="F10" s="36" t="s">
        <v>31</v>
      </c>
      <c r="G10" s="55" t="s">
        <v>32</v>
      </c>
      <c r="M10" t="s">
        <v>5</v>
      </c>
      <c r="N10">
        <v>3</v>
      </c>
      <c r="O10">
        <v>10</v>
      </c>
    </row>
    <row r="11" spans="1:15" x14ac:dyDescent="0.25">
      <c r="A11" s="16">
        <f>IF(ISBLANK(B11),"",_xlfn.ISOWEEKNUM('Journal de travail'!$B11))</f>
        <v>13</v>
      </c>
      <c r="B11" s="50">
        <v>45744</v>
      </c>
      <c r="C11" s="51"/>
      <c r="D11" s="52">
        <v>20</v>
      </c>
      <c r="E11" s="53" t="s">
        <v>7</v>
      </c>
      <c r="F11" s="36" t="s">
        <v>33</v>
      </c>
      <c r="G11" s="56"/>
      <c r="M11" t="s">
        <v>6</v>
      </c>
      <c r="N11">
        <v>4</v>
      </c>
      <c r="O11">
        <v>15</v>
      </c>
    </row>
    <row r="12" spans="1:15" ht="63" x14ac:dyDescent="0.25">
      <c r="A12" s="8">
        <f>IF(ISBLANK(B12),"",_xlfn.ISOWEEKNUM('Journal de travail'!$B12))</f>
        <v>13</v>
      </c>
      <c r="B12" s="46">
        <v>45744</v>
      </c>
      <c r="C12" s="47">
        <v>1</v>
      </c>
      <c r="D12" s="48">
        <v>15</v>
      </c>
      <c r="E12" s="49" t="s">
        <v>21</v>
      </c>
      <c r="F12" s="36" t="s">
        <v>34</v>
      </c>
      <c r="G12" s="55" t="s">
        <v>35</v>
      </c>
      <c r="M12" t="s">
        <v>7</v>
      </c>
      <c r="N12">
        <v>5</v>
      </c>
      <c r="O12">
        <v>20</v>
      </c>
    </row>
    <row r="13" spans="1:15" ht="31.5" x14ac:dyDescent="0.25">
      <c r="A13" s="16">
        <f>IF(ISBLANK(B13),"",_xlfn.ISOWEEKNUM('Journal de travail'!$B13))</f>
        <v>13</v>
      </c>
      <c r="B13" s="50">
        <v>45744</v>
      </c>
      <c r="C13" s="51"/>
      <c r="D13" s="52">
        <v>25</v>
      </c>
      <c r="E13" s="53" t="s">
        <v>21</v>
      </c>
      <c r="F13" s="36" t="s">
        <v>36</v>
      </c>
      <c r="G13" s="56"/>
      <c r="M13" t="s">
        <v>8</v>
      </c>
      <c r="N13">
        <v>6</v>
      </c>
      <c r="O13">
        <v>25</v>
      </c>
    </row>
    <row r="14" spans="1:15" ht="31.5" x14ac:dyDescent="0.25">
      <c r="A14" s="8">
        <f>IF(ISBLANK(B14),"",_xlfn.ISOWEEKNUM('Journal de travail'!$B14))</f>
        <v>13</v>
      </c>
      <c r="B14" s="46">
        <v>45744</v>
      </c>
      <c r="C14" s="47"/>
      <c r="D14" s="48">
        <v>20</v>
      </c>
      <c r="E14" s="49" t="s">
        <v>4</v>
      </c>
      <c r="F14" s="36" t="s">
        <v>37</v>
      </c>
      <c r="G14" s="55"/>
      <c r="M14" t="s">
        <v>21</v>
      </c>
      <c r="N14">
        <v>7</v>
      </c>
      <c r="O14">
        <v>30</v>
      </c>
    </row>
    <row r="15" spans="1:15" x14ac:dyDescent="0.25">
      <c r="A15" s="16" t="str">
        <f>IF(ISBLANK(B15),"",_xlfn.ISOWEEKNUM('Journal de travail'!$B15))</f>
        <v/>
      </c>
      <c r="B15" s="50"/>
      <c r="C15" s="51"/>
      <c r="D15" s="52"/>
      <c r="E15" s="53"/>
      <c r="F15" s="36"/>
      <c r="G15" s="56"/>
      <c r="M15" t="s">
        <v>22</v>
      </c>
      <c r="N15">
        <v>8</v>
      </c>
      <c r="O15">
        <v>35</v>
      </c>
    </row>
    <row r="16" spans="1:15" x14ac:dyDescent="0.25">
      <c r="A16" s="8" t="str">
        <f>IF(ISBLANK(B16),"",_xlfn.ISOWEEKNUM('Journal de travail'!$B16))</f>
        <v/>
      </c>
      <c r="B16" s="46"/>
      <c r="C16" s="47"/>
      <c r="D16" s="48"/>
      <c r="E16" s="49"/>
      <c r="F16" s="36"/>
      <c r="G16" s="55"/>
      <c r="O16">
        <v>40</v>
      </c>
    </row>
    <row r="17" spans="1:15" x14ac:dyDescent="0.25">
      <c r="A17" s="16" t="str">
        <f>IF(ISBLANK(B17),"",_xlfn.ISOWEEKNUM('Journal de travail'!$B17))</f>
        <v/>
      </c>
      <c r="B17" s="50"/>
      <c r="C17" s="51"/>
      <c r="D17" s="52"/>
      <c r="E17" s="53"/>
      <c r="F17" s="36"/>
      <c r="G17" s="56"/>
      <c r="O17">
        <v>45</v>
      </c>
    </row>
    <row r="18" spans="1:15" x14ac:dyDescent="0.25">
      <c r="A18" s="8" t="str">
        <f>IF(ISBLANK(B18),"",_xlfn.ISOWEEKNUM('Journal de travail'!$B18))</f>
        <v/>
      </c>
      <c r="B18" s="46"/>
      <c r="C18" s="47"/>
      <c r="D18" s="48"/>
      <c r="E18" s="49"/>
      <c r="F18" s="36"/>
      <c r="G18" s="55"/>
      <c r="O18">
        <v>50</v>
      </c>
    </row>
    <row r="19" spans="1:15" x14ac:dyDescent="0.25">
      <c r="A19" s="16" t="str">
        <f>IF(ISBLANK(B19),"",_xlfn.ISOWEEKNUM('Journal de travail'!$B19))</f>
        <v/>
      </c>
      <c r="B19" s="50"/>
      <c r="C19" s="51"/>
      <c r="D19" s="52"/>
      <c r="E19" s="53"/>
      <c r="F19" s="36"/>
      <c r="G19" s="56"/>
      <c r="O19">
        <v>55</v>
      </c>
    </row>
    <row r="20" spans="1:15" x14ac:dyDescent="0.25">
      <c r="A20" s="8" t="str">
        <f>IF(ISBLANK(B20),"",_xlfn.ISOWEEKNUM('Journal de travail'!$B20))</f>
        <v/>
      </c>
      <c r="B20" s="46"/>
      <c r="C20" s="47"/>
      <c r="D20" s="48"/>
      <c r="E20" s="49"/>
      <c r="F20" s="36"/>
      <c r="G20" s="55"/>
    </row>
    <row r="21" spans="1:15" x14ac:dyDescent="0.25">
      <c r="A21" s="16" t="str">
        <f>IF(ISBLANK(B21),"",_xlfn.ISOWEEKNUM('Journal de travail'!$B21))</f>
        <v/>
      </c>
      <c r="B21" s="50"/>
      <c r="C21" s="51"/>
      <c r="D21" s="52"/>
      <c r="E21" s="53"/>
      <c r="F21" s="36"/>
      <c r="G21" s="56"/>
    </row>
    <row r="22" spans="1:15" x14ac:dyDescent="0.25">
      <c r="A22" s="8" t="str">
        <f>IF(ISBLANK(B22),"",_xlfn.ISOWEEKNUM('Journal de travail'!$B22))</f>
        <v/>
      </c>
      <c r="B22" s="46"/>
      <c r="C22" s="47"/>
      <c r="D22" s="48"/>
      <c r="E22" s="49"/>
      <c r="F22" s="36"/>
      <c r="G22" s="55"/>
    </row>
    <row r="23" spans="1:15" x14ac:dyDescent="0.25">
      <c r="A23" s="16" t="str">
        <f>IF(ISBLANK(B23),"",_xlfn.ISOWEEKNUM('Journal de travail'!$B23))</f>
        <v/>
      </c>
      <c r="B23" s="50"/>
      <c r="C23" s="51"/>
      <c r="D23" s="52"/>
      <c r="E23" s="53"/>
      <c r="F23" s="36"/>
      <c r="G23" s="56"/>
    </row>
    <row r="24" spans="1:15" x14ac:dyDescent="0.25">
      <c r="A24" s="8" t="str">
        <f>IF(ISBLANK(B24),"",_xlfn.ISOWEEKNUM('Journal de travail'!$B24))</f>
        <v/>
      </c>
      <c r="B24" s="46"/>
      <c r="C24" s="47"/>
      <c r="D24" s="48"/>
      <c r="E24" s="49"/>
      <c r="F24" s="36"/>
      <c r="G24" s="55"/>
    </row>
    <row r="25" spans="1:15" x14ac:dyDescent="0.25">
      <c r="A25" s="16" t="str">
        <f>IF(ISBLANK(B25),"",_xlfn.ISOWEEKNUM('Journal de travail'!$B25))</f>
        <v/>
      </c>
      <c r="B25" s="50"/>
      <c r="C25" s="51"/>
      <c r="D25" s="52"/>
      <c r="E25" s="53"/>
      <c r="F25" s="36"/>
      <c r="G25" s="56"/>
    </row>
    <row r="26" spans="1:15" x14ac:dyDescent="0.25">
      <c r="A26" s="8" t="str">
        <f>IF(ISBLANK(B26),"",_xlfn.ISOWEEKNUM('Journal de travail'!$B26))</f>
        <v/>
      </c>
      <c r="B26" s="46"/>
      <c r="C26" s="47"/>
      <c r="D26" s="48"/>
      <c r="E26" s="49"/>
      <c r="F26" s="36"/>
      <c r="G26" s="55"/>
    </row>
    <row r="27" spans="1:15" x14ac:dyDescent="0.25">
      <c r="A27" s="16" t="str">
        <f>IF(ISBLANK(B27),"",_xlfn.ISOWEEKNUM('Journal de travail'!$B27))</f>
        <v/>
      </c>
      <c r="B27" s="50"/>
      <c r="C27" s="51"/>
      <c r="D27" s="52"/>
      <c r="E27" s="53"/>
      <c r="F27" s="36"/>
      <c r="G27" s="56"/>
    </row>
    <row r="28" spans="1:15" x14ac:dyDescent="0.25">
      <c r="A28" s="8" t="str">
        <f>IF(ISBLANK(B28),"",_xlfn.ISOWEEKNUM('Journal de travail'!$B28))</f>
        <v/>
      </c>
      <c r="B28" s="46"/>
      <c r="C28" s="47"/>
      <c r="D28" s="48"/>
      <c r="E28" s="49"/>
      <c r="F28" s="35"/>
      <c r="G28" s="55"/>
    </row>
    <row r="29" spans="1:15" x14ac:dyDescent="0.25">
      <c r="A29" s="16" t="str">
        <f>IF(ISBLANK(B29),"",_xlfn.ISOWEEKNUM('Journal de travail'!$B29))</f>
        <v/>
      </c>
      <c r="B29" s="50"/>
      <c r="C29" s="51"/>
      <c r="D29" s="52"/>
      <c r="E29" s="53"/>
      <c r="F29" s="35"/>
      <c r="G29" s="56"/>
    </row>
    <row r="30" spans="1:15" x14ac:dyDescent="0.25">
      <c r="A30" s="8" t="str">
        <f>IF(ISBLANK(B30),"",_xlfn.ISOWEEKNUM('Journal de travail'!$B30))</f>
        <v/>
      </c>
      <c r="B30" s="46"/>
      <c r="C30" s="47"/>
      <c r="D30" s="48"/>
      <c r="E30" s="49"/>
      <c r="F30" s="36"/>
      <c r="G30" s="55"/>
    </row>
    <row r="31" spans="1:15" x14ac:dyDescent="0.25">
      <c r="A31" s="16" t="str">
        <f>IF(ISBLANK(B31),"",_xlfn.ISOWEEKNUM('Journal de travail'!$B31))</f>
        <v/>
      </c>
      <c r="B31" s="50"/>
      <c r="C31" s="51"/>
      <c r="D31" s="52"/>
      <c r="E31" s="53"/>
      <c r="F31" s="35"/>
      <c r="G31" s="56"/>
    </row>
    <row r="32" spans="1:15" x14ac:dyDescent="0.25">
      <c r="A32" s="8" t="str">
        <f>IF(ISBLANK(B32),"",_xlfn.ISOWEEKNUM('Journal de travail'!$B32))</f>
        <v/>
      </c>
      <c r="B32" s="46"/>
      <c r="C32" s="47"/>
      <c r="D32" s="48"/>
      <c r="E32" s="49"/>
      <c r="F32" s="36"/>
      <c r="G32" s="55"/>
    </row>
    <row r="33" spans="1:7" x14ac:dyDescent="0.25">
      <c r="A33" s="16" t="str">
        <f>IF(ISBLANK(B33),"",_xlfn.ISOWEEKNUM('Journal de travail'!$B33))</f>
        <v/>
      </c>
      <c r="B33" s="50"/>
      <c r="C33" s="51"/>
      <c r="D33" s="52"/>
      <c r="E33" s="53"/>
      <c r="F33" s="35"/>
      <c r="G33" s="56"/>
    </row>
    <row r="34" spans="1:7" x14ac:dyDescent="0.25">
      <c r="A34" s="8" t="str">
        <f>IF(ISBLANK(B34),"",_xlfn.ISOWEEKNUM('Journal de travail'!$B34))</f>
        <v/>
      </c>
      <c r="B34" s="46"/>
      <c r="C34" s="47"/>
      <c r="D34" s="48"/>
      <c r="E34" s="49"/>
      <c r="F34" s="35"/>
      <c r="G34" s="55"/>
    </row>
    <row r="35" spans="1:7" x14ac:dyDescent="0.25">
      <c r="A35" s="16" t="str">
        <f>IF(ISBLANK(B35),"",_xlfn.ISOWEEKNUM('Journal de travail'!$B35))</f>
        <v/>
      </c>
      <c r="B35" s="50"/>
      <c r="C35" s="51"/>
      <c r="D35" s="52"/>
      <c r="E35" s="53"/>
      <c r="F35" s="36"/>
      <c r="G35" s="56"/>
    </row>
    <row r="36" spans="1:7" x14ac:dyDescent="0.25">
      <c r="A36" s="8" t="str">
        <f>IF(ISBLANK(B36),"",_xlfn.ISOWEEKNUM('Journal de travail'!$B36))</f>
        <v/>
      </c>
      <c r="B36" s="46"/>
      <c r="C36" s="47"/>
      <c r="D36" s="48"/>
      <c r="E36" s="49"/>
      <c r="F36" s="35"/>
      <c r="G36" s="55"/>
    </row>
    <row r="37" spans="1:7" x14ac:dyDescent="0.25">
      <c r="A37" s="16" t="str">
        <f>IF(ISBLANK(B37),"",_xlfn.ISOWEEKNUM('Journal de travail'!$B37))</f>
        <v/>
      </c>
      <c r="B37" s="50"/>
      <c r="C37" s="51"/>
      <c r="D37" s="52"/>
      <c r="E37" s="53"/>
      <c r="F37" s="35"/>
      <c r="G37" s="56"/>
    </row>
    <row r="38" spans="1:7" x14ac:dyDescent="0.25">
      <c r="A38" s="8" t="str">
        <f>IF(ISBLANK(B38),"",_xlfn.ISOWEEKNUM('Journal de travail'!$B38))</f>
        <v/>
      </c>
      <c r="B38" s="46"/>
      <c r="C38" s="47"/>
      <c r="D38" s="48"/>
      <c r="E38" s="49"/>
      <c r="F38" s="35"/>
      <c r="G38" s="55"/>
    </row>
    <row r="39" spans="1:7" x14ac:dyDescent="0.25">
      <c r="A39" s="16" t="str">
        <f>IF(ISBLANK(B39),"",_xlfn.ISOWEEKNUM('Journal de travail'!$B39))</f>
        <v/>
      </c>
      <c r="B39" s="50"/>
      <c r="C39" s="51"/>
      <c r="D39" s="52"/>
      <c r="E39" s="53"/>
      <c r="F39" s="35"/>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7:E532">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0</v>
      </c>
      <c r="C4" s="25" t="str">
        <f>'Journal de travail'!M8</f>
        <v>Analyse</v>
      </c>
      <c r="D4" s="33">
        <f>(A4+B4)/1440</f>
        <v>0</v>
      </c>
    </row>
    <row r="5" spans="1:4" x14ac:dyDescent="0.3">
      <c r="A5">
        <f>SUMIF('Journal de travail'!$E$7:$E$532,Analyse!C5,'Journal de travail'!$C$7:$C$532)*60</f>
        <v>0</v>
      </c>
      <c r="B5">
        <f>SUMIF('Journal de travail'!$E$7:$E$532,Analyse!C5,'Journal de travail'!$D$7:$D$532)</f>
        <v>20</v>
      </c>
      <c r="C5" s="41" t="str">
        <f>'Journal de travail'!M9</f>
        <v>Développement</v>
      </c>
      <c r="D5" s="33">
        <f t="shared" ref="D5:D11" si="0">(A5+B5)/1440</f>
        <v>1.3888888888888888E-2</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0</v>
      </c>
      <c r="C7" s="27" t="str">
        <f>'Journal de travail'!M11</f>
        <v>Documentation</v>
      </c>
      <c r="D7" s="33">
        <f t="shared" si="0"/>
        <v>0</v>
      </c>
    </row>
    <row r="8" spans="1:4" x14ac:dyDescent="0.3">
      <c r="A8">
        <f>SUMIF('Journal de travail'!$E$7:$E$532,Analyse!C8,'Journal de travail'!$C$7:$C$532)*60</f>
        <v>60</v>
      </c>
      <c r="B8">
        <f>SUMIF('Journal de travail'!$E$7:$E$532,Analyse!C8,'Journal de travail'!$D$7:$D$532)</f>
        <v>40</v>
      </c>
      <c r="C8" s="28" t="str">
        <f>'Journal de travail'!M12</f>
        <v>Meeting</v>
      </c>
      <c r="D8" s="33">
        <f t="shared" si="0"/>
        <v>6.9444444444444448E-2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60</v>
      </c>
      <c r="B10">
        <f>SUMIF('Journal de travail'!$E$7:$E$532,Analyse!C10,'Journal de travail'!$D$7:$D$532)</f>
        <v>85</v>
      </c>
      <c r="C10" s="37" t="str">
        <f>'Journal de travail'!M14</f>
        <v>Design</v>
      </c>
      <c r="D10" s="33">
        <f t="shared" si="0"/>
        <v>0.10069444444444445</v>
      </c>
    </row>
    <row r="11" spans="1:4" x14ac:dyDescent="0.3">
      <c r="A11">
        <f>SUMIF('Journal de travail'!$E$7:$E$532,Analyse!C11,'Journal de travail'!$C$7:$C$532)*60</f>
        <v>0</v>
      </c>
      <c r="B11">
        <f>SUMIF('Journal de travail'!$E$7:$E$532,Analyse!C11,'Journal de travail'!$D$7:$D$532)</f>
        <v>10</v>
      </c>
      <c r="C11" s="39" t="str">
        <f>'Journal de travail'!M15</f>
        <v>Autre</v>
      </c>
      <c r="D11" s="33">
        <f t="shared" si="0"/>
        <v>6.9444444444444441E-3</v>
      </c>
    </row>
    <row r="12" spans="1:4" x14ac:dyDescent="0.3">
      <c r="C12" s="23" t="s">
        <v>20</v>
      </c>
      <c r="D12" s="34">
        <f>SUM(D4:D11)</f>
        <v>0.19097222222222224</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Samuel Sallaku</cp:lastModifiedBy>
  <cp:revision/>
  <dcterms:created xsi:type="dcterms:W3CDTF">2023-11-21T20:00:34Z</dcterms:created>
  <dcterms:modified xsi:type="dcterms:W3CDTF">2025-03-28T14:42:31Z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