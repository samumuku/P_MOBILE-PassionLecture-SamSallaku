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r13xpj\Documents\GitHub\P_MOBILE-PassionLecture-SamSallaku\doc\"/>
    </mc:Choice>
  </mc:AlternateContent>
  <xr:revisionPtr revIDLastSave="0" documentId="13_ncr:1_{58CFB4CC-62E2-4D0E-9950-485F9303F1B4}"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28680" yWindow="-120" windowWidth="29040" windowHeight="15840"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2" l="1"/>
  <c r="A11" i="2"/>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D11" i="2" l="1"/>
  <c r="D10" i="2"/>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<sst xmlns="http://schemas.openxmlformats.org/spreadsheetml/2006/main" count="36" uniqueCount="33">
  <si>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</si>
  <si>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</si>
  <si>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</si>
  <si>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</si>
  <si>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</si>
  <si>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</si>
  <si>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</si>
  <si>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</si>
  <si>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</si>
  <si>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</si>
  <si>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</si>
  <si>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</si>
  <si>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</si>
  <si>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</si>
  <si>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</si>
  <si>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</si>
  <si>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</si>
  <si>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</si>
  <si>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</si>
  <si>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</si>
  <si>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</si>
  <si>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</si>
  <si>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</si>
  <si>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18.03.2024  au 27.05.2024</t>
  </si>
  <si>
    <t>P_App - 335 - Passion Lecture</t>
  </si>
  <si>
    <t>heure</t>
  </si>
  <si>
    <t>Activité</t>
  </si>
  <si>
    <t>Remarque / problème</t>
  </si>
  <si>
    <t>Nous avons discuté avec le prof par rapport au projet, avions découvert le CdC ainsi que s'inscrire sur le marketplace. J'ai aussi créé mon repo GitHub avec les fichiers de base nécessaires comme ce journal de travail et CdC</t>
  </si>
  <si>
    <t>Sallaku Samuel</t>
  </si>
  <si>
    <t>Création du projet sur Visual Studio</t>
  </si>
  <si>
    <t>Début de la conception de l'application sur Figma, puis recherche d'un template pour téléphone Android</t>
  </si>
  <si>
    <t>J'ai eu des soucis car quand je voulais ouvrir n'importe quel fichier, que ce soit le mien ou bien un template, j'avais à chaque fois le problème où il ne s'affichait pas et le message d'erreur "
We can't open this file because WebGL isn't supported, or is disabled, in your browser. If your browser supports WebGL, check out this help article to find out how to enable it." Mais finalement, j'ai réussi à régler ce problème et j'ai pu avancer dans ma première maquette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</si>
</sst>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59">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0</c:v>
                </c:pt>
                <c:pt idx="1">
                  <c:v>0</c:v>
                </c:pt>
                <c:pt idx="2">
                  <c:v>0</c:v>
                </c:pt>
                <c:pt idx="3">
                  <c:v>0</c:v>
                </c:pt>
                <c:pt idx="4">
                  <c:v>5.5555555555555552E-2</c:v>
                </c:pt>
                <c:pt idx="5">
                  <c:v>0</c:v>
                </c:pt>
                <c:pt idx="6">
                  <c:v>3.125E-2</c:v>
                </c:pt>
                <c:pt idx="7">
                  <c:v>6.9444444444444441E-3</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Normal="100" workbookViewId="0">
      <pane ySplit="6" topLeftCell="A8" activePane="bottomLeft" state="frozen"/>
      <selection pane="bottomLeft" activeCell="F16" sqref="F16"/>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57" t="s">
        <v>29</v>
      </c>
      <c r="D2" s="57"/>
      <c r="E2" s="57"/>
      <c r="F2" s="5" t="s">
        <v>2</v>
      </c>
      <c r="G2" s="6" t="s">
        <v>24</v>
      </c>
    </row>
    <row r="3" spans="1:15" ht="23.25" x14ac:dyDescent="0.35">
      <c r="B3" s="5" t="s">
        <v>9</v>
      </c>
      <c r="C3" s="22" t="str">
        <f>INT(E4/1440)&amp;" jours "&amp;INT(MOD(E4/1440,1)*24)&amp;" heurs "&amp;INT(MOD(MOD(E4/1440,1)*24,1)*60)&amp;" minutes"</f>
        <v>0 jours 2 heurs 15 minutes</v>
      </c>
      <c r="D3" s="22"/>
      <c r="E3" s="3"/>
      <c r="F3" s="4" t="s">
        <v>10</v>
      </c>
      <c r="G3" s="7" t="s">
        <v>23</v>
      </c>
    </row>
    <row r="4" spans="1:15" ht="23.25" hidden="1" x14ac:dyDescent="0.35">
      <c r="B4" s="5"/>
      <c r="C4" s="22">
        <f>SUBTOTAL(9,$C$7:$C$531)*60</f>
        <v>60</v>
      </c>
      <c r="D4" s="22">
        <f>SUBTOTAL(9,$D$7:$D$531)</f>
        <v>75</v>
      </c>
      <c r="E4" s="40">
        <f>SUM(C4:D4)</f>
        <v>135</v>
      </c>
      <c r="F4" s="4"/>
      <c r="G4" s="7"/>
    </row>
    <row r="5" spans="1:15" x14ac:dyDescent="0.25">
      <c r="C5" s="58" t="s">
        <v>16</v>
      </c>
      <c r="D5" s="58"/>
    </row>
    <row r="6" spans="1:15" s="20" customFormat="1" ht="20.100000000000001" customHeight="1" x14ac:dyDescent="0.3">
      <c r="A6" s="18" t="s">
        <v>11</v>
      </c>
      <c r="B6" s="32" t="s">
        <v>12</v>
      </c>
      <c r="C6" s="21" t="s">
        <v>25</v>
      </c>
      <c r="D6" s="21" t="s">
        <v>17</v>
      </c>
      <c r="E6" s="19" t="s">
        <v>26</v>
      </c>
      <c r="F6" s="19" t="s">
        <v>13</v>
      </c>
      <c r="G6" s="19" t="s">
        <v>27</v>
      </c>
    </row>
    <row r="7" spans="1:15" x14ac:dyDescent="0.25">
      <c r="A7" s="14" t="str">
        <f>IF(ISBLANK(B7),"",_xlfn.ISOWEEKNUM('Journal de travail'!$B7))</f>
        <v/>
      </c>
      <c r="B7" s="42"/>
      <c r="C7" s="43"/>
      <c r="D7" s="44"/>
      <c r="E7" s="45"/>
      <c r="F7" s="36"/>
      <c r="G7" s="54"/>
    </row>
    <row r="8" spans="1:15" ht="47.25" x14ac:dyDescent="0.25">
      <c r="A8" s="8">
        <f>IF(ISBLANK(B8),"",_xlfn.ISOWEEKNUM('Journal de travail'!$B8))</f>
        <v>12</v>
      </c>
      <c r="B8" s="46">
        <v>45737</v>
      </c>
      <c r="C8" s="47">
        <v>1</v>
      </c>
      <c r="D8" s="48">
        <v>20</v>
      </c>
      <c r="E8" s="49" t="s">
        <v>7</v>
      </c>
      <c r="F8" s="36" t="s">
        <v>28</v>
      </c>
      <c r="G8" s="55"/>
      <c r="M8" t="s">
        <v>3</v>
      </c>
      <c r="N8">
        <v>1</v>
      </c>
      <c r="O8">
        <v>0</v>
      </c>
    </row>
    <row r="9" spans="1:15" x14ac:dyDescent="0.25">
      <c r="A9" s="16">
        <f>IF(ISBLANK(B9),"",_xlfn.ISOWEEKNUM('Journal de travail'!$B9))</f>
        <v>12</v>
      </c>
      <c r="B9" s="50">
        <v>45737</v>
      </c>
      <c r="C9" s="51"/>
      <c r="D9" s="52">
        <v>10</v>
      </c>
      <c r="E9" s="53" t="s">
        <v>22</v>
      </c>
      <c r="F9" s="36" t="s">
        <v>30</v>
      </c>
      <c r="G9" s="56"/>
      <c r="M9" t="s">
        <v>4</v>
      </c>
      <c r="N9">
        <v>2</v>
      </c>
      <c r="O9">
        <v>5</v>
      </c>
    </row>
    <row r="10" spans="1:15" ht="110.25" x14ac:dyDescent="0.25">
      <c r="A10" s="8">
        <f>IF(ISBLANK(B10),"",_xlfn.ISOWEEKNUM('Journal de travail'!$B10))</f>
        <v>12</v>
      </c>
      <c r="B10" s="46">
        <v>45737</v>
      </c>
      <c r="C10" s="47"/>
      <c r="D10" s="48">
        <v>45</v>
      </c>
      <c r="E10" s="49" t="s">
        <v>21</v>
      </c>
      <c r="F10" s="36" t="s">
        <v>31</v>
      </c>
      <c r="G10" s="55" t="s">
        <v>32</v>
      </c>
      <c r="M10" t="s">
        <v>5</v>
      </c>
      <c r="N10">
        <v>3</v>
      </c>
      <c r="O10">
        <v>10</v>
      </c>
    </row>
    <row r="11" spans="1:15" x14ac:dyDescent="0.25">
      <c r="A11" s="16" t="str">
        <f>IF(ISBLANK(B11),"",_xlfn.ISOWEEKNUM('Journal de travail'!$B11))</f>
        <v/>
      </c>
      <c r="B11" s="50"/>
      <c r="C11" s="51"/>
      <c r="D11" s="52"/>
      <c r="E11" s="53"/>
      <c r="F11" s="36"/>
      <c r="G11" s="56"/>
      <c r="M11" t="s">
        <v>6</v>
      </c>
      <c r="N11">
        <v>4</v>
      </c>
      <c r="O11">
        <v>15</v>
      </c>
    </row>
    <row r="12" spans="1:15" x14ac:dyDescent="0.25">
      <c r="A12" s="8" t="str">
        <f>IF(ISBLANK(B12),"",_xlfn.ISOWEEKNUM('Journal de travail'!$B12))</f>
        <v/>
      </c>
      <c r="B12" s="46"/>
      <c r="C12" s="47"/>
      <c r="D12" s="48"/>
      <c r="E12" s="49"/>
      <c r="F12" s="36"/>
      <c r="G12" s="55"/>
      <c r="M12" t="s">
        <v>7</v>
      </c>
      <c r="N12">
        <v>5</v>
      </c>
      <c r="O12">
        <v>20</v>
      </c>
    </row>
    <row r="13" spans="1:15" x14ac:dyDescent="0.25">
      <c r="A13" s="16" t="str">
        <f>IF(ISBLANK(B13),"",_xlfn.ISOWEEKNUM('Journal de travail'!$B13))</f>
        <v/>
      </c>
      <c r="B13" s="50"/>
      <c r="C13" s="51"/>
      <c r="D13" s="52"/>
      <c r="E13" s="53"/>
      <c r="F13" s="36"/>
      <c r="G13" s="56"/>
      <c r="M13" t="s">
        <v>8</v>
      </c>
      <c r="N13">
        <v>6</v>
      </c>
      <c r="O13">
        <v>25</v>
      </c>
    </row>
    <row r="14" spans="1:15" x14ac:dyDescent="0.25">
      <c r="A14" s="8" t="str">
        <f>IF(ISBLANK(B14),"",_xlfn.ISOWEEKNUM('Journal de travail'!$B14))</f>
        <v/>
      </c>
      <c r="B14" s="46"/>
      <c r="C14" s="47"/>
      <c r="D14" s="48"/>
      <c r="E14" s="49"/>
      <c r="F14" s="36"/>
      <c r="G14" s="55"/>
      <c r="M14" t="s">
        <v>21</v>
      </c>
      <c r="N14">
        <v>7</v>
      </c>
      <c r="O14">
        <v>30</v>
      </c>
    </row>
    <row r="15" spans="1:15" x14ac:dyDescent="0.25">
      <c r="A15" s="16" t="str">
        <f>IF(ISBLANK(B15),"",_xlfn.ISOWEEKNUM('Journal de travail'!$B15))</f>
        <v/>
      </c>
      <c r="B15" s="50"/>
      <c r="C15" s="51"/>
      <c r="D15" s="52"/>
      <c r="E15" s="53"/>
      <c r="F15" s="36"/>
      <c r="G15" s="56"/>
      <c r="M15" t="s">
        <v>22</v>
      </c>
      <c r="N15">
        <v>8</v>
      </c>
      <c r="O15">
        <v>35</v>
      </c>
    </row>
    <row r="16" spans="1:15" x14ac:dyDescent="0.25">
      <c r="A16" s="8" t="str">
        <f>IF(ISBLANK(B16),"",_xlfn.ISOWEEKNUM('Journal de travail'!$B16))</f>
        <v/>
      </c>
      <c r="B16" s="46"/>
      <c r="C16" s="47"/>
      <c r="D16" s="48"/>
      <c r="E16" s="49"/>
      <c r="F16" s="36"/>
      <c r="G16" s="55"/>
      <c r="O16">
        <v>40</v>
      </c>
    </row>
    <row r="17" spans="1:15" x14ac:dyDescent="0.25">
      <c r="A17" s="16" t="str">
        <f>IF(ISBLANK(B17),"",_xlfn.ISOWEEKNUM('Journal de travail'!$B17))</f>
        <v/>
      </c>
      <c r="B17" s="50"/>
      <c r="C17" s="51"/>
      <c r="D17" s="52"/>
      <c r="E17" s="53"/>
      <c r="F17" s="36"/>
      <c r="G17" s="56"/>
      <c r="O17">
        <v>45</v>
      </c>
    </row>
    <row r="18" spans="1:15" x14ac:dyDescent="0.25">
      <c r="A18" s="8" t="str">
        <f>IF(ISBLANK(B18),"",_xlfn.ISOWEEKNUM('Journal de travail'!$B18))</f>
        <v/>
      </c>
      <c r="B18" s="46"/>
      <c r="C18" s="47"/>
      <c r="D18" s="48"/>
      <c r="E18" s="49"/>
      <c r="F18" s="36"/>
      <c r="G18" s="55"/>
      <c r="O18">
        <v>50</v>
      </c>
    </row>
    <row r="19" spans="1:15" x14ac:dyDescent="0.25">
      <c r="A19" s="16" t="str">
        <f>IF(ISBLANK(B19),"",_xlfn.ISOWEEKNUM('Journal de travail'!$B19))</f>
        <v/>
      </c>
      <c r="B19" s="50"/>
      <c r="C19" s="51"/>
      <c r="D19" s="52"/>
      <c r="E19" s="53"/>
      <c r="F19" s="36"/>
      <c r="G19" s="56"/>
      <c r="O19">
        <v>55</v>
      </c>
    </row>
    <row r="20" spans="1:15" x14ac:dyDescent="0.25">
      <c r="A20" s="8" t="str">
        <f>IF(ISBLANK(B20),"",_xlfn.ISOWEEKNUM('Journal de travail'!$B20))</f>
        <v/>
      </c>
      <c r="B20" s="46"/>
      <c r="C20" s="47"/>
      <c r="D20" s="48"/>
      <c r="E20" s="49"/>
      <c r="F20" s="36"/>
      <c r="G20" s="55"/>
    </row>
    <row r="21" spans="1:15" x14ac:dyDescent="0.25">
      <c r="A21" s="16" t="str">
        <f>IF(ISBLANK(B21),"",_xlfn.ISOWEEKNUM('Journal de travail'!$B21))</f>
        <v/>
      </c>
      <c r="B21" s="50"/>
      <c r="C21" s="51"/>
      <c r="D21" s="52"/>
      <c r="E21" s="53"/>
      <c r="F21" s="36"/>
      <c r="G21" s="56"/>
    </row>
    <row r="22" spans="1:15" x14ac:dyDescent="0.25">
      <c r="A22" s="8" t="str">
        <f>IF(ISBLANK(B22),"",_xlfn.ISOWEEKNUM('Journal de travail'!$B22))</f>
        <v/>
      </c>
      <c r="B22" s="46"/>
      <c r="C22" s="47"/>
      <c r="D22" s="48"/>
      <c r="E22" s="49"/>
      <c r="F22" s="36"/>
      <c r="G22" s="55"/>
    </row>
    <row r="23" spans="1:15" x14ac:dyDescent="0.25">
      <c r="A23" s="16" t="str">
        <f>IF(ISBLANK(B23),"",_xlfn.ISOWEEKNUM('Journal de travail'!$B23))</f>
        <v/>
      </c>
      <c r="B23" s="50"/>
      <c r="C23" s="51"/>
      <c r="D23" s="52"/>
      <c r="E23" s="53"/>
      <c r="F23" s="36"/>
      <c r="G23" s="56"/>
    </row>
    <row r="24" spans="1:15" x14ac:dyDescent="0.25">
      <c r="A24" s="8" t="str">
        <f>IF(ISBLANK(B24),"",_xlfn.ISOWEEKNUM('Journal de travail'!$B24))</f>
        <v/>
      </c>
      <c r="B24" s="46"/>
      <c r="C24" s="47"/>
      <c r="D24" s="48"/>
      <c r="E24" s="49"/>
      <c r="F24" s="36"/>
      <c r="G24" s="55"/>
    </row>
    <row r="25" spans="1:15" x14ac:dyDescent="0.25">
      <c r="A25" s="16" t="str">
        <f>IF(ISBLANK(B25),"",_xlfn.ISOWEEKNUM('Journal de travail'!$B25))</f>
        <v/>
      </c>
      <c r="B25" s="50"/>
      <c r="C25" s="51"/>
      <c r="D25" s="52"/>
      <c r="E25" s="53"/>
      <c r="F25" s="36"/>
      <c r="G25" s="56"/>
    </row>
    <row r="26" spans="1:15" x14ac:dyDescent="0.25">
      <c r="A26" s="8" t="str">
        <f>IF(ISBLANK(B26),"",_xlfn.ISOWEEKNUM('Journal de travail'!$B26))</f>
        <v/>
      </c>
      <c r="B26" s="46"/>
      <c r="C26" s="47"/>
      <c r="D26" s="48"/>
      <c r="E26" s="49"/>
      <c r="F26" s="36"/>
      <c r="G26" s="55"/>
    </row>
    <row r="27" spans="1:15" x14ac:dyDescent="0.25">
      <c r="A27" s="16" t="str">
        <f>IF(ISBLANK(B27),"",_xlfn.ISOWEEKNUM('Journal de travail'!$B27))</f>
        <v/>
      </c>
      <c r="B27" s="50"/>
      <c r="C27" s="51"/>
      <c r="D27" s="52"/>
      <c r="E27" s="53"/>
      <c r="F27" s="36"/>
      <c r="G27" s="56"/>
    </row>
    <row r="28" spans="1:15" x14ac:dyDescent="0.25">
      <c r="A28" s="8" t="str">
        <f>IF(ISBLANK(B28),"",_xlfn.ISOWEEKNUM('Journal de travail'!$B28))</f>
        <v/>
      </c>
      <c r="B28" s="46"/>
      <c r="C28" s="47"/>
      <c r="D28" s="48"/>
      <c r="E28" s="49"/>
      <c r="F28" s="35"/>
      <c r="G28" s="55"/>
    </row>
    <row r="29" spans="1:15" x14ac:dyDescent="0.25">
      <c r="A29" s="16" t="str">
        <f>IF(ISBLANK(B29),"",_xlfn.ISOWEEKNUM('Journal de travail'!$B29))</f>
        <v/>
      </c>
      <c r="B29" s="50"/>
      <c r="C29" s="51"/>
      <c r="D29" s="52"/>
      <c r="E29" s="53"/>
      <c r="F29" s="35"/>
      <c r="G29" s="56"/>
    </row>
    <row r="30" spans="1:15" x14ac:dyDescent="0.25">
      <c r="A30" s="8" t="str">
        <f>IF(ISBLANK(B30),"",_xlfn.ISOWEEKNUM('Journal de travail'!$B30))</f>
        <v/>
      </c>
      <c r="B30" s="46"/>
      <c r="C30" s="47"/>
      <c r="D30" s="48"/>
      <c r="E30" s="49"/>
      <c r="F30" s="36"/>
      <c r="G30" s="55"/>
    </row>
    <row r="31" spans="1:15" x14ac:dyDescent="0.25">
      <c r="A31" s="16" t="str">
        <f>IF(ISBLANK(B31),"",_xlfn.ISOWEEKNUM('Journal de travail'!$B31))</f>
        <v/>
      </c>
      <c r="B31" s="50"/>
      <c r="C31" s="51"/>
      <c r="D31" s="52"/>
      <c r="E31" s="53"/>
      <c r="F31" s="35"/>
      <c r="G31" s="56"/>
    </row>
    <row r="32" spans="1:15" x14ac:dyDescent="0.25">
      <c r="A32" s="8" t="str">
        <f>IF(ISBLANK(B32),"",_xlfn.ISOWEEKNUM('Journal de travail'!$B32))</f>
        <v/>
      </c>
      <c r="B32" s="46"/>
      <c r="C32" s="47"/>
      <c r="D32" s="48"/>
      <c r="E32" s="49"/>
      <c r="F32" s="36"/>
      <c r="G32" s="55"/>
    </row>
    <row r="33" spans="1:7" x14ac:dyDescent="0.25">
      <c r="A33" s="16" t="str">
        <f>IF(ISBLANK(B33),"",_xlfn.ISOWEEKNUM('Journal de travail'!$B33))</f>
        <v/>
      </c>
      <c r="B33" s="50"/>
      <c r="C33" s="51"/>
      <c r="D33" s="52"/>
      <c r="E33" s="53"/>
      <c r="F33" s="35"/>
      <c r="G33" s="56"/>
    </row>
    <row r="34" spans="1:7" x14ac:dyDescent="0.25">
      <c r="A34" s="8" t="str">
        <f>IF(ISBLANK(B34),"",_xlfn.ISOWEEKNUM('Journal de travail'!$B34))</f>
        <v/>
      </c>
      <c r="B34" s="46"/>
      <c r="C34" s="47"/>
      <c r="D34" s="48"/>
      <c r="E34" s="49"/>
      <c r="F34" s="35"/>
      <c r="G34" s="55"/>
    </row>
    <row r="35" spans="1:7" x14ac:dyDescent="0.25">
      <c r="A35" s="16" t="str">
        <f>IF(ISBLANK(B35),"",_xlfn.ISOWEEKNUM('Journal de travail'!$B35))</f>
        <v/>
      </c>
      <c r="B35" s="50"/>
      <c r="C35" s="51"/>
      <c r="D35" s="52"/>
      <c r="E35" s="53"/>
      <c r="F35" s="36"/>
      <c r="G35" s="56"/>
    </row>
    <row r="36" spans="1:7" x14ac:dyDescent="0.25">
      <c r="A36" s="8" t="str">
        <f>IF(ISBLANK(B36),"",_xlfn.ISOWEEKNUM('Journal de travail'!$B36))</f>
        <v/>
      </c>
      <c r="B36" s="46"/>
      <c r="C36" s="47"/>
      <c r="D36" s="48"/>
      <c r="E36" s="49"/>
      <c r="F36" s="35"/>
      <c r="G36" s="55"/>
    </row>
    <row r="37" spans="1:7" x14ac:dyDescent="0.25">
      <c r="A37" s="16" t="str">
        <f>IF(ISBLANK(B37),"",_xlfn.ISOWEEKNUM('Journal de travail'!$B37))</f>
        <v/>
      </c>
      <c r="B37" s="50"/>
      <c r="C37" s="51"/>
      <c r="D37" s="52"/>
      <c r="E37" s="53"/>
      <c r="F37" s="35"/>
      <c r="G37" s="56"/>
    </row>
    <row r="38" spans="1:7" x14ac:dyDescent="0.25">
      <c r="A38" s="8" t="str">
        <f>IF(ISBLANK(B38),"",_xlfn.ISOWEEKNUM('Journal de travail'!$B38))</f>
        <v/>
      </c>
      <c r="B38" s="46"/>
      <c r="C38" s="47"/>
      <c r="D38" s="48"/>
      <c r="E38" s="49"/>
      <c r="F38" s="35"/>
      <c r="G38" s="55"/>
    </row>
    <row r="39" spans="1:7" x14ac:dyDescent="0.25">
      <c r="A39" s="16" t="str">
        <f>IF(ISBLANK(B39),"",_xlfn.ISOWEEKNUM('Journal de travail'!$B39))</f>
        <v/>
      </c>
      <c r="B39" s="50"/>
      <c r="C39" s="51"/>
      <c r="D39" s="52"/>
      <c r="E39" s="53"/>
      <c r="F39" s="35"/>
      <c r="G39" s="56"/>
    </row>
    <row r="40" spans="1:7" x14ac:dyDescent="0.25">
      <c r="A40" s="8" t="str">
        <f>IF(ISBLANK(B40),"",_xlfn.ISOWEEKNUM('Journal de travail'!$B40))</f>
        <v/>
      </c>
      <c r="B40" s="46"/>
      <c r="C40" s="47"/>
      <c r="D40" s="48"/>
      <c r="E40" s="49"/>
      <c r="F40" s="35"/>
      <c r="G40" s="55"/>
    </row>
    <row r="41" spans="1:7" x14ac:dyDescent="0.25">
      <c r="A41" s="16" t="str">
        <f>IF(ISBLANK(B41),"",_xlfn.ISOWEEKNUM('Journal de travail'!$B41))</f>
        <v/>
      </c>
      <c r="B41" s="50"/>
      <c r="C41" s="51"/>
      <c r="D41" s="52"/>
      <c r="E41" s="53"/>
      <c r="F41" s="35"/>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7:E532">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0</v>
      </c>
      <c r="C4" s="25" t="str">
        <f>'Journal de travail'!M8</f>
        <v>Analyse</v>
      </c>
      <c r="D4" s="33">
        <f>(A4+B4)/1440</f>
        <v>0</v>
      </c>
    </row>
    <row r="5" spans="1:4" x14ac:dyDescent="0.3">
      <c r="A5">
        <f>SUMIF('Journal de travail'!$E$7:$E$532,Analyse!C5,'Journal de travail'!$C$7:$C$532)*60</f>
        <v>0</v>
      </c>
      <c r="B5">
        <f>SUMIF('Journal de travail'!$E$7:$E$532,Analyse!C5,'Journal de travail'!$D$7:$D$532)</f>
        <v>0</v>
      </c>
      <c r="C5" s="41" t="str">
        <f>'Journal de travail'!M9</f>
        <v>Développement</v>
      </c>
      <c r="D5" s="33">
        <f t="shared" ref="D5:D11" si="0">(A5+B5)/1440</f>
        <v>0</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0</v>
      </c>
      <c r="C7" s="27" t="str">
        <f>'Journal de travail'!M11</f>
        <v>Documentation</v>
      </c>
      <c r="D7" s="33">
        <f t="shared" si="0"/>
        <v>0</v>
      </c>
    </row>
    <row r="8" spans="1:4" x14ac:dyDescent="0.3">
      <c r="A8">
        <f>SUMIF('Journal de travail'!$E$7:$E$532,Analyse!C8,'Journal de travail'!$C$7:$C$532)*60</f>
        <v>60</v>
      </c>
      <c r="B8">
        <f>SUMIF('Journal de travail'!$E$7:$E$532,Analyse!C8,'Journal de travail'!$D$7:$D$532)</f>
        <v>20</v>
      </c>
      <c r="C8" s="28" t="str">
        <f>'Journal de travail'!M12</f>
        <v>Meeting</v>
      </c>
      <c r="D8" s="33">
        <f t="shared" si="0"/>
        <v>5.5555555555555552E-2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45</v>
      </c>
      <c r="C10" s="37" t="str">
        <f>'Journal de travail'!M14</f>
        <v>Design</v>
      </c>
      <c r="D10" s="33">
        <f t="shared" si="0"/>
        <v>3.125E-2</v>
      </c>
    </row>
    <row r="11" spans="1:4" x14ac:dyDescent="0.3">
      <c r="A11">
        <f>SUMIF('Journal de travail'!$E$7:$E$532,Analyse!C11,'Journal de travail'!$C$7:$C$532)*60</f>
        <v>0</v>
      </c>
      <c r="B11">
        <f>SUMIF('Journal de travail'!$E$7:$E$532,Analyse!C11,'Journal de travail'!$D$7:$D$532)</f>
        <v>10</v>
      </c>
      <c r="C11" s="39" t="str">
        <f>'Journal de travail'!M15</f>
        <v>Autre</v>
      </c>
      <c r="D11" s="33">
        <f t="shared" si="0"/>
        <v>6.9444444444444441E-3</v>
      </c>
    </row>
    <row r="12" spans="1:4" x14ac:dyDescent="0.3">
      <c r="C12" s="23" t="s">
        <v>20</v>
      </c>
      <c r="D12" s="34">
        <f>SUM(D4:D11)</f>
        <v>9.375E-2</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Samuel Sallaku</cp:lastModifiedBy>
  <cp:revision/>
  <dcterms:created xsi:type="dcterms:W3CDTF">2023-11-21T20:00:34Z</dcterms:created>
  <dcterms:modified xsi:type="dcterms:W3CDTF">2025-03-21T14:43:19Z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