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r13xpj\Documents\GitHub\P_MOBILE-PassionLecture-SamSallaku\doc\"/>
    </mc:Choice>
  </mc:AlternateContent>
  <xr:revisionPtr revIDLastSave="0" documentId="13_ncr:1_{6304DADE-AA5E-43A3-BBAA-C0D345D14AA7}"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<sst xmlns="http://schemas.openxmlformats.org/spreadsheetml/2006/main" count="54" uniqueCount="43">
  <si>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</si>
  <si>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</si>
  <si>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</si>
  <si>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</si>
  <si>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</si>
  <si>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</si>
  <si>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</si>
  <si>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</si>
  <si>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</si>
  <si>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</si>
  <si>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</si>
  <si>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</si>
  <si>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</si>
  <si>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</si>
  <si>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</si>
  <si>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</si>
  <si>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</si>
  <si>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</si>
  <si>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</si>
  <si>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</si>
  <si>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</si>
  <si>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</si>
  <si>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</si>
  <si>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</si>
  <si>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</si>
  <si>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</si>
  <si>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</si>
  <si>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</si>
  <si>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</si>
  <si>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</si>
  <si>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</si>
  <si>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</si>
  <si>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</si>
  <si>
    <t>Meeting et discussion par rapport au projet avec le prof</t>
  </si>
  <si>
    <t xml:space="preserve">J'ai continué sur Figma, créé la page principale, la page de recherche où on peut filtrer avec un tag que nous avons créé et attribué à un livre ou bien filtrer avec une date d'ajout. J'ai aussi créé la page de détail d'un livre donc si on clique sur le bouton "Détails" qui est au dessous du livre, alors cette page va s'afficher </t>
  </si>
  <si>
    <t>J'ai quelques moments où Figma est un petit lent et donc ça me prend plus de temps pour faire certaines modification qui sont petites</t>
  </si>
  <si>
    <t>J'ai relu le CdC et fait en sorte qu'il y aie tout ce qu'il faut dans les maquettes afin de passer au code.</t>
  </si>
  <si>
    <t>J'ai commencé par faire une navigation simple avec les Tabs, juste avec la page "Détail", "Recherche" et la page d'accueil "Home"</t>
  </si>
  <si>
    <t>Nous avons discuté par rapport au projet, puis ensuite j'ai commencé par revoir ce que j'ai fait la semaine passée, et jai donc continué sur la navigation</t>
  </si>
  <si>
    <t>J'ai continué sur le projet, j'ai fait le TabBar et je l'ai personnalisé. J'ai également ajouté des icônes.</t>
  </si>
  <si>
    <t>Cela m'a pris du temps car j'ai dû me renseigner sur comment mettre du style au TabBar</t>
  </si>
  <si>
    <t>J'ai eu un soucis en faisant les icônes, elle n'apparaissaient pas sur mes pages de navigation tab. Mais c'était car les images n'étaient pas placés au bon endroit</t>
  </si>
  <si>
    <t>J'ai fait la mise en page de la page home, donc là où les livres vont s'afficher mais que le début.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</si>
</sst>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0</c:v>
                </c:pt>
                <c:pt idx="1">
                  <c:v>9.0277777777777776E-2</c:v>
                </c:pt>
                <c:pt idx="2">
                  <c:v>0</c:v>
                </c:pt>
                <c:pt idx="3">
                  <c:v>0</c:v>
                </c:pt>
                <c:pt idx="4">
                  <c:v>8.6805555555555552E-2</c:v>
                </c:pt>
                <c:pt idx="5">
                  <c:v>0</c:v>
                </c:pt>
                <c:pt idx="6">
                  <c:v>0.10069444444444445</c:v>
                </c:pt>
                <c:pt idx="7">
                  <c:v>6.9444444444444441E-3</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8" activePane="bottomLeft" state="frozen"/>
      <selection pane="bottomLeft" activeCell="F19" sqref="F19"/>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29</v>
      </c>
      <c r="D2" s="57"/>
      <c r="E2" s="57"/>
      <c r="F2" s="5" t="s">
        <v>2</v>
      </c>
      <c r="G2" s="6" t="s">
        <v>24</v>
      </c>
    </row>
    <row r="3" spans="1:15" ht="23.25" x14ac:dyDescent="0.35">
      <c r="B3" s="5" t="s">
        <v>9</v>
      </c>
      <c r="C3" s="22" t="str">
        <f>INT(E4/1440)&amp;" jours "&amp;INT(MOD(E4/1440,1)*24)&amp;" heurs "&amp;INT(MOD(MOD(E4/1440,1)*24,1)*60)&amp;" minutes"</f>
        <v>0 jours 6 heurs 50 minutes</v>
      </c>
      <c r="D3" s="22"/>
      <c r="E3" s="3"/>
      <c r="F3" s="4" t="s">
        <v>10</v>
      </c>
      <c r="G3" s="7" t="s">
        <v>23</v>
      </c>
    </row>
    <row r="4" spans="1:15" ht="23.25" hidden="1" x14ac:dyDescent="0.35">
      <c r="B4" s="5"/>
      <c r="C4" s="22">
        <f>SUBTOTAL(9,$C$7:$C$531)*60</f>
        <v>120</v>
      </c>
      <c r="D4" s="22">
        <f>SUBTOTAL(9,$D$7:$D$531)</f>
        <v>290</v>
      </c>
      <c r="E4" s="40">
        <f>SUM(C4:D4)</f>
        <v>410</v>
      </c>
      <c r="F4" s="4"/>
      <c r="G4" s="7"/>
    </row>
    <row r="5" spans="1:15" x14ac:dyDescent="0.25">
      <c r="C5" s="58" t="s">
        <v>16</v>
      </c>
      <c r="D5" s="58"/>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f>IF(ISBLANK(B11),"",_xlfn.ISOWEEKNUM('Journal de travail'!$B11))</f>
        <v>13</v>
      </c>
      <c r="B11" s="50">
        <v>45744</v>
      </c>
      <c r="C11" s="51"/>
      <c r="D11" s="52">
        <v>20</v>
      </c>
      <c r="E11" s="53" t="s">
        <v>7</v>
      </c>
      <c r="F11" s="36" t="s">
        <v>33</v>
      </c>
      <c r="G11" s="56"/>
      <c r="M11" t="s">
        <v>6</v>
      </c>
      <c r="N11">
        <v>4</v>
      </c>
      <c r="O11">
        <v>15</v>
      </c>
    </row>
    <row r="12" spans="1:15" ht="63" x14ac:dyDescent="0.25">
      <c r="A12" s="8">
        <f>IF(ISBLANK(B12),"",_xlfn.ISOWEEKNUM('Journal de travail'!$B12))</f>
        <v>13</v>
      </c>
      <c r="B12" s="46">
        <v>45744</v>
      </c>
      <c r="C12" s="47">
        <v>1</v>
      </c>
      <c r="D12" s="48">
        <v>15</v>
      </c>
      <c r="E12" s="49" t="s">
        <v>21</v>
      </c>
      <c r="F12" s="36" t="s">
        <v>34</v>
      </c>
      <c r="G12" s="55" t="s">
        <v>35</v>
      </c>
      <c r="M12" t="s">
        <v>7</v>
      </c>
      <c r="N12">
        <v>5</v>
      </c>
      <c r="O12">
        <v>20</v>
      </c>
    </row>
    <row r="13" spans="1:15" ht="31.5" x14ac:dyDescent="0.25">
      <c r="A13" s="16">
        <f>IF(ISBLANK(B13),"",_xlfn.ISOWEEKNUM('Journal de travail'!$B13))</f>
        <v>13</v>
      </c>
      <c r="B13" s="50">
        <v>45744</v>
      </c>
      <c r="C13" s="51"/>
      <c r="D13" s="52">
        <v>25</v>
      </c>
      <c r="E13" s="53" t="s">
        <v>21</v>
      </c>
      <c r="F13" s="36" t="s">
        <v>36</v>
      </c>
      <c r="G13" s="56"/>
      <c r="M13" t="s">
        <v>8</v>
      </c>
      <c r="N13">
        <v>6</v>
      </c>
      <c r="O13">
        <v>25</v>
      </c>
    </row>
    <row r="14" spans="1:15" ht="31.5" x14ac:dyDescent="0.25">
      <c r="A14" s="8">
        <f>IF(ISBLANK(B14),"",_xlfn.ISOWEEKNUM('Journal de travail'!$B14))</f>
        <v>13</v>
      </c>
      <c r="B14" s="46">
        <v>45744</v>
      </c>
      <c r="C14" s="47"/>
      <c r="D14" s="48">
        <v>20</v>
      </c>
      <c r="E14" s="49" t="s">
        <v>4</v>
      </c>
      <c r="F14" s="36" t="s">
        <v>37</v>
      </c>
      <c r="G14" s="55"/>
      <c r="M14" t="s">
        <v>21</v>
      </c>
      <c r="N14">
        <v>7</v>
      </c>
      <c r="O14">
        <v>30</v>
      </c>
    </row>
    <row r="15" spans="1:15" ht="31.5" x14ac:dyDescent="0.25">
      <c r="A15" s="16">
        <f>IF(ISBLANK(B15),"",_xlfn.ISOWEEKNUM('Journal de travail'!$B15))</f>
        <v>14</v>
      </c>
      <c r="B15" s="50">
        <v>45751</v>
      </c>
      <c r="C15" s="51"/>
      <c r="D15" s="52">
        <v>25</v>
      </c>
      <c r="E15" s="53" t="s">
        <v>7</v>
      </c>
      <c r="F15" s="36" t="s">
        <v>38</v>
      </c>
      <c r="G15" s="56"/>
      <c r="M15" t="s">
        <v>22</v>
      </c>
      <c r="N15">
        <v>8</v>
      </c>
      <c r="O15">
        <v>35</v>
      </c>
    </row>
    <row r="16" spans="1:15" ht="31.5" x14ac:dyDescent="0.25">
      <c r="A16" s="8">
        <f>IF(ISBLANK(B16),"",_xlfn.ISOWEEKNUM('Journal de travail'!$B16))</f>
        <v>14</v>
      </c>
      <c r="B16" s="46">
        <v>45751</v>
      </c>
      <c r="C16" s="47"/>
      <c r="D16" s="48">
        <v>50</v>
      </c>
      <c r="E16" s="49" t="s">
        <v>4</v>
      </c>
      <c r="F16" s="36" t="s">
        <v>39</v>
      </c>
      <c r="G16" s="55" t="s">
        <v>40</v>
      </c>
      <c r="O16">
        <v>40</v>
      </c>
    </row>
    <row r="17" spans="1:15" ht="31.5" x14ac:dyDescent="0.25">
      <c r="A17" s="16">
        <f>IF(ISBLANK(B17),"",_xlfn.ISOWEEKNUM('Journal de travail'!$B17))</f>
        <v>14</v>
      </c>
      <c r="B17" s="50">
        <v>45751</v>
      </c>
      <c r="C17" s="51"/>
      <c r="D17" s="52">
        <v>30</v>
      </c>
      <c r="E17" s="53" t="s">
        <v>4</v>
      </c>
      <c r="F17" s="36" t="s">
        <v>41</v>
      </c>
      <c r="G17" s="56"/>
      <c r="O17">
        <v>45</v>
      </c>
    </row>
    <row r="18" spans="1:15" x14ac:dyDescent="0.25">
      <c r="A18" s="8">
        <f>IF(ISBLANK(B18),"",_xlfn.ISOWEEKNUM('Journal de travail'!$B18))</f>
        <v>14</v>
      </c>
      <c r="B18" s="46">
        <v>45751</v>
      </c>
      <c r="C18" s="47"/>
      <c r="D18" s="48">
        <v>30</v>
      </c>
      <c r="E18" s="49" t="s">
        <v>4</v>
      </c>
      <c r="F18" s="36" t="s">
        <v>42</v>
      </c>
      <c r="G18" s="55"/>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0</v>
      </c>
      <c r="C4" s="25" t="str">
        <f>'Journal de travail'!M8</f>
        <v>Analyse</v>
      </c>
      <c r="D4" s="33">
        <f>(A4+B4)/1440</f>
        <v>0</v>
      </c>
    </row>
    <row r="5" spans="1:4" x14ac:dyDescent="0.3">
      <c r="A5">
        <f>SUMIF('Journal de travail'!$E$7:$E$532,Analyse!C5,'Journal de travail'!$C$7:$C$532)*60</f>
        <v>0</v>
      </c>
      <c r="B5">
        <f>SUMIF('Journal de travail'!$E$7:$E$532,Analyse!C5,'Journal de travail'!$D$7:$D$532)</f>
        <v>130</v>
      </c>
      <c r="C5" s="41" t="str">
        <f>'Journal de travail'!M9</f>
        <v>Développement</v>
      </c>
      <c r="D5" s="33">
        <f t="shared" ref="D5:D11" si="0">(A5+B5)/1440</f>
        <v>9.0277777777777776E-2</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60</v>
      </c>
      <c r="B8">
        <f>SUMIF('Journal de travail'!$E$7:$E$532,Analyse!C8,'Journal de travail'!$D$7:$D$532)</f>
        <v>65</v>
      </c>
      <c r="C8" s="28" t="str">
        <f>'Journal de travail'!M12</f>
        <v>Meeting</v>
      </c>
      <c r="D8" s="33">
        <f t="shared" si="0"/>
        <v>8.6805555555555552E-2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60</v>
      </c>
      <c r="B10">
        <f>SUMIF('Journal de travail'!$E$7:$E$532,Analyse!C10,'Journal de travail'!$D$7:$D$532)</f>
        <v>85</v>
      </c>
      <c r="C10" s="37" t="str">
        <f>'Journal de travail'!M14</f>
        <v>Design</v>
      </c>
      <c r="D10" s="33">
        <f t="shared" si="0"/>
        <v>0.10069444444444445</v>
      </c>
    </row>
    <row r="11" spans="1:4" x14ac:dyDescent="0.3">
      <c r="A11">
        <f>SUMIF('Journal de travail'!$E$7:$E$532,Analyse!C11,'Journal de travail'!$C$7:$C$532)*60</f>
        <v>0</v>
      </c>
      <c r="B11">
        <f>SUMIF('Journal de travail'!$E$7:$E$532,Analyse!C11,'Journal de travail'!$D$7:$D$532)</f>
        <v>10</v>
      </c>
      <c r="C11" s="39" t="str">
        <f>'Journal de travail'!M15</f>
        <v>Autre</v>
      </c>
      <c r="D11" s="33">
        <f t="shared" si="0"/>
        <v>6.9444444444444441E-3</v>
      </c>
    </row>
    <row r="12" spans="1:4" x14ac:dyDescent="0.3">
      <c r="C12" s="23" t="s">
        <v>20</v>
      </c>
      <c r="D12" s="34">
        <f>SUM(D4:D11)</f>
        <v>0.28472222222222221</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2025-04-04T13:40:18Z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